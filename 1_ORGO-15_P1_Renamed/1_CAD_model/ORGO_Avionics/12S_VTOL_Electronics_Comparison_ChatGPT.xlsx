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Drones\ORGOfly-CAD-model\1_Solid_CAD_Model\15 kg version\ORGO_Avionics\"/>
    </mc:Choice>
  </mc:AlternateContent>
  <xr:revisionPtr revIDLastSave="0" documentId="13_ncr:1_{F0E6BF26-1EDB-4E1B-85D2-00FE6DF0C7F8}" xr6:coauthVersionLast="47" xr6:coauthVersionMax="47" xr10:uidLastSave="{00000000-0000-0000-0000-000000000000}"/>
  <bookViews>
    <workbookView xWindow="-120" yWindow="-120" windowWidth="29040" windowHeight="15720" firstSheet="1" activeTab="6" xr2:uid="{00000000-000D-0000-FFFF-FFFF00000000}"/>
  </bookViews>
  <sheets>
    <sheet name="FC" sheetId="1" r:id="rId1"/>
    <sheet name="ESC" sheetId="2" r:id="rId2"/>
    <sheet name="Power_PDB" sheetId="3" r:id="rId3"/>
    <sheet name="BEC_ServoPower" sheetId="4" r:id="rId4"/>
    <sheet name="GPS_Compass" sheetId="5" r:id="rId5"/>
    <sheet name="Receivers" sheetId="6" r:id="rId6"/>
    <sheet name="Telemetry" sheetId="7" r:id="rId7"/>
    <sheet name="Airspeed" sheetId="8" r:id="rId8"/>
    <sheet name="Servos" sheetId="9" r:id="rId9"/>
    <sheet name="Battery_Motor_Misc" sheetId="10" r:id="rId10"/>
    <sheet name="Summary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1" i="10" l="1"/>
  <c r="K10" i="10"/>
  <c r="K9" i="10"/>
  <c r="K8" i="10"/>
  <c r="K7" i="10"/>
  <c r="K6" i="10"/>
  <c r="K5" i="10"/>
  <c r="K15" i="9"/>
  <c r="K14" i="9"/>
  <c r="K13" i="9"/>
  <c r="K12" i="9"/>
  <c r="K11" i="9"/>
  <c r="K10" i="9"/>
  <c r="K9" i="9"/>
  <c r="K8" i="9"/>
  <c r="K7" i="9"/>
  <c r="K6" i="9"/>
  <c r="K5" i="9"/>
  <c r="K10" i="8"/>
  <c r="K9" i="8"/>
  <c r="K8" i="8"/>
  <c r="K7" i="8"/>
  <c r="K6" i="8"/>
  <c r="K5" i="8"/>
  <c r="K11" i="7"/>
  <c r="K10" i="7"/>
  <c r="K9" i="7"/>
  <c r="K8" i="7"/>
  <c r="K7" i="7"/>
  <c r="K6" i="7"/>
  <c r="K5" i="7"/>
  <c r="K11" i="6"/>
  <c r="K10" i="6"/>
  <c r="K9" i="6"/>
  <c r="K8" i="6"/>
  <c r="K7" i="6"/>
  <c r="K6" i="6"/>
  <c r="K5" i="6"/>
  <c r="K12" i="5"/>
  <c r="K11" i="5"/>
  <c r="K10" i="5"/>
  <c r="K9" i="5"/>
  <c r="K8" i="5"/>
  <c r="K7" i="5"/>
  <c r="K6" i="5"/>
  <c r="K5" i="5"/>
  <c r="K12" i="4"/>
  <c r="K11" i="4"/>
  <c r="K10" i="4"/>
  <c r="K9" i="4"/>
  <c r="K8" i="4"/>
  <c r="K7" i="4"/>
  <c r="K6" i="4"/>
  <c r="K5" i="4"/>
  <c r="K13" i="3"/>
  <c r="K12" i="3"/>
  <c r="K11" i="3"/>
  <c r="K10" i="3"/>
  <c r="K9" i="3"/>
  <c r="K8" i="3"/>
  <c r="K7" i="3"/>
  <c r="K6" i="3"/>
  <c r="K5" i="3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</calcChain>
</file>

<file path=xl/sharedStrings.xml><?xml version="1.0" encoding="utf-8"?>
<sst xmlns="http://schemas.openxmlformats.org/spreadsheetml/2006/main" count="1223" uniqueCount="855">
  <si>
    <t>FC comparison</t>
  </si>
  <si>
    <t>Prices are approximate retail snapshots discussed in the chat; verify availability, regional taxes, and shipping before purchase. 12S = 2x 6S LiPo in series: 44.4 V nominal, 50.4 V full.</t>
  </si>
  <si>
    <t>Tier</t>
  </si>
  <si>
    <t>Option</t>
  </si>
  <si>
    <t>Manufacturer</t>
  </si>
  <si>
    <t>Role / use</t>
  </si>
  <si>
    <t>Firmware / protocol</t>
  </si>
  <si>
    <t>Voltage / input</t>
  </si>
  <si>
    <t>Outputs / current / key specs</t>
  </si>
  <si>
    <t>12S-system compatibility</t>
  </si>
  <si>
    <t>Approx unit price EUR</t>
  </si>
  <si>
    <t>Qty</t>
  </si>
  <si>
    <t>Approx subtotal EUR</t>
  </si>
  <si>
    <t>Advantages</t>
  </si>
  <si>
    <t>Disadvantages / caveats</t>
  </si>
  <si>
    <t>Source URL</t>
  </si>
  <si>
    <t>Budget</t>
  </si>
  <si>
    <t>SpeedyBee F405 Wing APP</t>
  </si>
  <si>
    <t>SpeedyBee</t>
  </si>
  <si>
    <t>Wing/VTOL FC</t>
  </si>
  <si>
    <t>ArduPilot, INAV</t>
  </si>
  <si>
    <t>PDB is 7-36V / 2-6S; use regulated rail in 12S</t>
  </si>
  <si>
    <t>STM32F405; ~11-12 PWM; 6 UART; I2C; microSD; Bluetooth/app setup</t>
  </si>
  <si>
    <t>Compatible only through 5V/regulated power; do not feed raw 12S to its PDB</t>
  </si>
  <si>
    <t>Very cheap; good wing layout; easy app setup</t>
  </si>
  <si>
    <t>F4 class; no CAN; not raw 12S</t>
  </si>
  <si>
    <t>https://www.speedybee.com/speedybee-f405-wing-app-fixed-wing-flight-controller/</t>
  </si>
  <si>
    <t>SpeedyBee F405 Wing Mini</t>
  </si>
  <si>
    <t>Compact wing FC</t>
  </si>
  <si>
    <t>2-6S PDB; use regulated power only</t>
  </si>
  <si>
    <t>F405; smaller wing board; fewer rails than APP stack</t>
  </si>
  <si>
    <t>12S-compatible only via external regulator/BEC</t>
  </si>
  <si>
    <t>Very cheap and compact</t>
  </si>
  <si>
    <t>Less expansion and power margin</t>
  </si>
  <si>
    <t>https://www.speedybee.com/speedybee-f405-wing-mini/</t>
  </si>
  <si>
    <t>Matek F405-Wing V2</t>
  </si>
  <si>
    <t>Matek</t>
  </si>
  <si>
    <t>Fixed-wing/VTOL FC</t>
  </si>
  <si>
    <t>9-30V / 3-6S direct; use 12V regulated rail</t>
  </si>
  <si>
    <t>STM32F405; 10 PWM; 6 UART; I2C; SD; servo rail 5A cont/6A peak</t>
  </si>
  <si>
    <t>Good with FCHUB-12S 12V output; not raw 12S</t>
  </si>
  <si>
    <t>Best cheap wing layout; widely used; supports airspeed/GPS/servos</t>
  </si>
  <si>
    <t>F4 flash/headroom; limited for complex VTOL</t>
  </si>
  <si>
    <t>https://www.mateksys.com/?portfolio=f405-wing-v2</t>
  </si>
  <si>
    <t>Matek F405-HDTE</t>
  </si>
  <si>
    <t>Compact FC / direct 12S shortcut</t>
  </si>
  <si>
    <t>ArduPilot, INAV, Betaflight</t>
  </si>
  <si>
    <t>9-60V / 3-12S direct</t>
  </si>
  <si>
    <t>STM32F405; 12 PWM; 6 UART; external current sensor; 5V 1.5A BEC</t>
  </si>
  <si>
    <t>Direct raw 12S capable; still needs external servo power/current sensing</t>
  </si>
  <si>
    <t>Cheapest direct-12S FC option we discussed</t>
  </si>
  <si>
    <t>Less wing-oriented; no built-in current sensor; F4 class</t>
  </si>
  <si>
    <t>https://www.mateksys.com/?portfolio=f405-hdte</t>
  </si>
  <si>
    <t>ATOMRC F405 NAVI</t>
  </si>
  <si>
    <t>ATOMRC</t>
  </si>
  <si>
    <t>Budget wing FC</t>
  </si>
  <si>
    <t>3-6S direct; use regulated rail</t>
  </si>
  <si>
    <t>F405; 8 PWM class; GPS/compass friendly</t>
  </si>
  <si>
    <t>12S-compatible only via external regulator</t>
  </si>
  <si>
    <t>Very cheap; fixed-wing oriented</t>
  </si>
  <si>
    <t>Limited outputs for VTOL</t>
  </si>
  <si>
    <t>https://atomrc.com/products/atomrc-fixed-wing-flight-controller-f405-navi</t>
  </si>
  <si>
    <t>Holybro Kakute F405-Wing Mini</t>
  </si>
  <si>
    <t>Holybro</t>
  </si>
  <si>
    <t>2-8S direct; use regulated rail for 12S</t>
  </si>
  <si>
    <t>STM32F405; 7 PWM; 5 UART; barometer; current sensing; small servo BEC</t>
  </si>
  <si>
    <t>Works in 12S aircraft only behind PDB/BEC</t>
  </si>
  <si>
    <t>Good brand; compact; verified firmware support</t>
  </si>
  <si>
    <t>Only 7 PWM outputs; may be tight for VTOL</t>
  </si>
  <si>
    <t>https://holybro.com/products/kakute-f405-wing-mini</t>
  </si>
  <si>
    <t>MicoAir H743 V2</t>
  </si>
  <si>
    <t>MicoAir</t>
  </si>
  <si>
    <t>Compact H7 autopilot</t>
  </si>
  <si>
    <t>ArduPilot, PX4; INAV flashable/community</t>
  </si>
  <si>
    <t>2-6S direct; use regulated rail</t>
  </si>
  <si>
    <t>STM32H743; compact board; not wing-specific</t>
  </si>
  <si>
    <t>12S-compatible only through external regulator</t>
  </si>
  <si>
    <t>Cheap H7 compute</t>
  </si>
  <si>
    <t>Not ideal wing/servo layout</t>
  </si>
  <si>
    <t>https://store.micoair.com/product/micoair743/</t>
  </si>
  <si>
    <t>Sequre H743 V2</t>
  </si>
  <si>
    <t>Sequre</t>
  </si>
  <si>
    <t>Compact H7 multirotor FC</t>
  </si>
  <si>
    <t>4-8S direct; use regulated rail</t>
  </si>
  <si>
    <t>H743; 6 UART; 9 PWM class; multirotor layout</t>
  </si>
  <si>
    <t>Works with 12S only via regulator; not wing-optimized</t>
  </si>
  <si>
    <t>Cheap H7 board</t>
  </si>
  <si>
    <t>Servo/wiring layout less convenient</t>
  </si>
  <si>
    <t>https://ardupilot.org/copter/docs/common-sequreh743.html</t>
  </si>
  <si>
    <t>Medium</t>
  </si>
  <si>
    <t>Matek H7A3-SLIM</t>
  </si>
  <si>
    <t>Compact H7 FC</t>
  </si>
  <si>
    <t>ArduPilot</t>
  </si>
  <si>
    <t>6-36V / 2-8S direct; use regulated rail</t>
  </si>
  <si>
    <t>H7A3; 11 PWM; 6 UART; CAN; blackbox; no current sensor</t>
  </si>
  <si>
    <t>Good with 12S PDB/BEC; not raw 12S</t>
  </si>
  <si>
    <t>Excellent value H7 for ArduPilot</t>
  </si>
  <si>
    <t>Less wing-specific than H7A3-WING</t>
  </si>
  <si>
    <t>https://www.mateksys.com/?portfolio=h7a3-slim-2</t>
  </si>
  <si>
    <t>TBS Lucid H7 Wing</t>
  </si>
  <si>
    <t>TBS</t>
  </si>
  <si>
    <t>ArduPilot; INAV target/check before buying</t>
  </si>
  <si>
    <t>8-50.4V / 3-12S direct</t>
  </si>
  <si>
    <t>STM32H743; 13 PWM; 7 UART; 2 I2C; CAN; 5/6/8.4V servo BEC 8A cont/10A peak</t>
  </si>
  <si>
    <t>Excellent direct 12S budget option</t>
  </si>
  <si>
    <t>Direct 12S; H7; strong servo BEC; great budget architecture</t>
  </si>
  <si>
    <t>INAV status less clear than ArduPilot</t>
  </si>
  <si>
    <t>https://www.rotorama.com/product/tbs-lucid-h7-wing</t>
  </si>
  <si>
    <t>iFlight BLITZ Wing H743</t>
  </si>
  <si>
    <t>iFlight</t>
  </si>
  <si>
    <t>STM32H743; 13 PWM; 7 UART; 2 I2C; CAN; 5/7.4/8.4V 6A servo BEC</t>
  </si>
  <si>
    <t>H7 wing board under €100; good I/O</t>
  </si>
  <si>
    <t>Servo BEC weaker than TBS Lucid; no raw 12S</t>
  </si>
  <si>
    <t>https://ardupilot.org/copter/docs/common-blitzh743wing.html</t>
  </si>
  <si>
    <t>Matek H743-SLIM V4</t>
  </si>
  <si>
    <t>6-36V / 2-8S direct; VBAT2 senses up to 69V</t>
  </si>
  <si>
    <t>STM32H743; dual IMU; 13 PWM; 7 UART; 2 I2C; CAN; microSD</t>
  </si>
  <si>
    <t>Excellent if powered from regulated rail; use external current/servo power</t>
  </si>
  <si>
    <t>Best Matek compute/headroom under €100</t>
  </si>
  <si>
    <t>No built-in current sensor; not raw 12S</t>
  </si>
  <si>
    <t>https://www.rotorama.com/product/matek-h743-slim-v4</t>
  </si>
  <si>
    <t>Matek H743-Mini V3</t>
  </si>
  <si>
    <t>6.3-36V / 2-8S; use regulated rail</t>
  </si>
  <si>
    <t>H743; 11 PWM; UARTs; CAN; VB2 voltage sense up to 69V</t>
  </si>
  <si>
    <t>Good with PDB/BEC; not raw 12S</t>
  </si>
  <si>
    <t>Compact H7</t>
  </si>
  <si>
    <t>Less convenient for wing/servos than H743-SLIM/Wing boards</t>
  </si>
  <si>
    <t>https://www.mateksys.com/?portfolio=h743-mini</t>
  </si>
  <si>
    <t>AET H743 Basic</t>
  </si>
  <si>
    <t>AET</t>
  </si>
  <si>
    <t>H7 autopilot board</t>
  </si>
  <si>
    <t>Usually 2-6S class; use regulated rail</t>
  </si>
  <si>
    <t>H743; compact autopilot</t>
  </si>
  <si>
    <t>12S via external regulator only</t>
  </si>
  <si>
    <t>H7 under €100</t>
  </si>
  <si>
    <t>Less common; support/ecosystem not as broad</t>
  </si>
  <si>
    <t>https://ardupilot.org/copter/docs/common-autopilots.html</t>
  </si>
  <si>
    <t>Holybro Kakute H743-Wing</t>
  </si>
  <si>
    <t>10-36V / 3-8S direct; use regulated rail for 12S</t>
  </si>
  <si>
    <t>STM32H743; 14 PWM; 7 UART; CAN; I2C; current sensor; 5V, 6/8V, 9/12V BECs</t>
  </si>
  <si>
    <t>Very good with regulated PDB; not raw 12S</t>
  </si>
  <si>
    <t>Excellent wing/VTOL layout; both ArduPilot and INAV</t>
  </si>
  <si>
    <t>Often above €100 in EU; current sensor not for whole VTOL bus</t>
  </si>
  <si>
    <t>https://holybro.com/products/kakute-h743-wing</t>
  </si>
  <si>
    <t>Above medium</t>
  </si>
  <si>
    <t>Matek H7A3-WING</t>
  </si>
  <si>
    <t>9-30V / 3-6S; use 12V regulated rail</t>
  </si>
  <si>
    <t>11 PWM; 6 UART; CAN; strong Vx servo rail 8A cont/12A peak</t>
  </si>
  <si>
    <t>Excellent with FCHUB/PM12S; not raw 12S</t>
  </si>
  <si>
    <t>Best Matek wing/VTOL layout</t>
  </si>
  <si>
    <t>Above €100 and not direct 12S</t>
  </si>
  <si>
    <t>https://www.mateksys.com/?portfolio=h7a3-wing</t>
  </si>
  <si>
    <t>Holybro Pixhawk 6C</t>
  </si>
  <si>
    <t>Pixhawk autopilot</t>
  </si>
  <si>
    <t>ArduPilot, PX4</t>
  </si>
  <si>
    <t>Regulated 4.9-5.5V power input</t>
  </si>
  <si>
    <t>Pixhawk class; 16 PWM; CAN; redundant sensors lower than 6X</t>
  </si>
  <si>
    <t>Very good with 12S power module/PMU</t>
  </si>
  <si>
    <t>Cheapest serious Pixhawk-class choice</t>
  </si>
  <si>
    <t>Needs PMU; more wiring/cost than small FC</t>
  </si>
  <si>
    <t>https://docs.holybro.com/autopilot/pixhawk-6c/technical-specification</t>
  </si>
  <si>
    <t>Expensive</t>
  </si>
  <si>
    <t>Holybro Pixhawk 6X</t>
  </si>
  <si>
    <t>Serious VTOL/autopilot</t>
  </si>
  <si>
    <t>STM32H753; 16 PWM; 2 CAN; 2 GPS; redundant IMUs/barometers</t>
  </si>
  <si>
    <t>Excellent with 12S power module/PMU</t>
  </si>
  <si>
    <t>Mature, robust, expandable</t>
  </si>
  <si>
    <t>Expensive; may exceed your needs</t>
  </si>
  <si>
    <t>https://docs.holybro.com/autopilot/pixhawk-6x/technical-specification</t>
  </si>
  <si>
    <t>Cube Orange+</t>
  </si>
  <si>
    <t>CubePilot</t>
  </si>
  <si>
    <t>Premium ArduPilot/PX4 autopilot</t>
  </si>
  <si>
    <t>Regulated low-voltage carrier-board power</t>
  </si>
  <si>
    <t>H757 class; 14 PWM; 5 serial; 2 CAN; triple IMU ecosystem</t>
  </si>
  <si>
    <t>Excellent with PM08-CAN/Mauch/CUAV PMU</t>
  </si>
  <si>
    <t>Very proven for VTOL/autonomy</t>
  </si>
  <si>
    <t>Cost and integration complexity</t>
  </si>
  <si>
    <t>https://docs.cubepilot.org/user-guides/autopilot/the-cube/introduction/specifications</t>
  </si>
  <si>
    <t>CUAV Pixhawk V6X V2</t>
  </si>
  <si>
    <t>CUAV</t>
  </si>
  <si>
    <t>Pixhawk-class autopilot</t>
  </si>
  <si>
    <t>FC via PMU; PMU 2 Lite supports high-voltage bus</t>
  </si>
  <si>
    <t>STM32H753; 16 PWM; 2 CAN; Ethernet; multiple GPS/telemetry ports</t>
  </si>
  <si>
    <t>Excellent with CUAV PMU 2 Lite on 12S</t>
  </si>
  <si>
    <t>Strong non-Holybro alternative</t>
  </si>
  <si>
    <t>Higher cost than budget FCs</t>
  </si>
  <si>
    <t>https://store.cuav.net/shop/pixhawk-v6x-v2-controller/</t>
  </si>
  <si>
    <t>CUAV Nora+ / Nora</t>
  </si>
  <si>
    <t>Compact serious autopilot</t>
  </si>
  <si>
    <t>Regulated low voltage; uses CAN PMU Lite / PMU</t>
  </si>
  <si>
    <t>14 PWM; 2 CAN; dual power; robust sensors</t>
  </si>
  <si>
    <t>Good 12S via PMU</t>
  </si>
  <si>
    <t>Compact but serious autopilot</t>
  </si>
  <si>
    <t>Less cheap; CUAV ecosystem</t>
  </si>
  <si>
    <t>https://ardupilot.org/copter/docs/common-cuav-nora-overview.html</t>
  </si>
  <si>
    <t>CUAV X25 EVO</t>
  </si>
  <si>
    <t>Industrial autopilot</t>
  </si>
  <si>
    <t>Uses PMU 2 Lite; PMU input 20-70V</t>
  </si>
  <si>
    <t>16 PWM; multiple CAN; Ethernet; richer interface set</t>
  </si>
  <si>
    <t>Excellent 12S system if budget allows</t>
  </si>
  <si>
    <t>Industrial interfaces and power architecture</t>
  </si>
  <si>
    <t>Too expensive for budget build</t>
  </si>
  <si>
    <t>https://store.cuav.net/shop/x25-evo-controller/</t>
  </si>
  <si>
    <t>mRo/3DR Control Zero Classic</t>
  </si>
  <si>
    <t>mRo / 3DR</t>
  </si>
  <si>
    <t>Modular H7 autopilot</t>
  </si>
  <si>
    <t>ArduPilot, PX4 depending variant</t>
  </si>
  <si>
    <t>Regulated low-voltage input / carrier-dependent</t>
  </si>
  <si>
    <t>STM32H743; 12 PWM; 2 CAN; 5 UART</t>
  </si>
  <si>
    <t>Works in 12S with proper PMU</t>
  </si>
  <si>
    <t>Current H7 modular option</t>
  </si>
  <si>
    <t>More custom integration</t>
  </si>
  <si>
    <t>https://docs.3dr.com/</t>
  </si>
  <si>
    <t>3DR Control N1</t>
  </si>
  <si>
    <t>3DR</t>
  </si>
  <si>
    <t>Compact H7 controller</t>
  </si>
  <si>
    <t>ArduPilot; PX4 alpha per docs</t>
  </si>
  <si>
    <t>Regulated input</t>
  </si>
  <si>
    <t>STM32H743; 12 PWM; 7 serial; 2 FD-CAN</t>
  </si>
  <si>
    <t>Works with 12S only through PMU</t>
  </si>
  <si>
    <t>Modern compact H7</t>
  </si>
  <si>
    <t>PX4 alpha; less conservative</t>
  </si>
  <si>
    <t>mRo Pixracer Pro</t>
  </si>
  <si>
    <t>Compact autopilot</t>
  </si>
  <si>
    <t>ArduPilot/PX4 class</t>
  </si>
  <si>
    <t>H743; 8 PWM; 2 CAN; 6 UART</t>
  </si>
  <si>
    <t>12S via PMU; may lack outputs for complex VTOL</t>
  </si>
  <si>
    <t>Small, capable</t>
  </si>
  <si>
    <t>Only 8 PWM; not ideal for actuator-heavy VTOL</t>
  </si>
  <si>
    <t>ESC comparison</t>
  </si>
  <si>
    <t>Flycolor X-Cross HV3 60A</t>
  </si>
  <si>
    <t>Flycolor</t>
  </si>
  <si>
    <t>Lift ESC only if measured current is low</t>
  </si>
  <si>
    <t>BLHeli_32; DShot/PWM/Proshot</t>
  </si>
  <si>
    <t>5-12S</t>
  </si>
  <si>
    <t>60A continuous class; single ESC; telemetry</t>
  </si>
  <si>
    <t>Voltage OK; current may be too low for Avenger 3120 unless prop is derated</t>
  </si>
  <si>
    <t>Cheapest true 12S ESC mentioned</t>
  </si>
  <si>
    <t>Only use after bench current testing</t>
  </si>
  <si>
    <t>https://www.flyingtech.co.uk/product/flycolor-x-cross-hv-5-12s-blheli32-esc-60-80-120-160a/</t>
  </si>
  <si>
    <t>Flycolor X-Cross HV3 80A</t>
  </si>
  <si>
    <t>Budget 12S lift ESC</t>
  </si>
  <si>
    <t>80A; aluminum heatsinks; protections; telemetry</t>
  </si>
  <si>
    <t>Good budget match if motor current stays &lt;= FCHUB 70A continuous path</t>
  </si>
  <si>
    <t>Best low-cost 80A 12S option</t>
  </si>
  <si>
    <t>Lower confidence than Hobbywing/T-Motor; cooling/bench test required</t>
  </si>
  <si>
    <t>https://www.drone-fpv-racer.com/en/x-cross-hv3-pro-80a-5-12s-by-flycolor-12950.html</t>
  </si>
  <si>
    <t>Sequre 12100 100A</t>
  </si>
  <si>
    <t>Budget high-headroom ESC</t>
  </si>
  <si>
    <t>AM32 or BLHeli_32; DShot/PWM/OneShot/MultiShot; telemetry</t>
  </si>
  <si>
    <t>5-12S / 18-50.4V</t>
  </si>
  <si>
    <t>100A continuous; 180A peak; STM32G071; heatsinks both sides</t>
  </si>
  <si>
    <t>Voltage OK; good ESC headroom but FCHUB path remains 70A/channel continuous</t>
  </si>
  <si>
    <t>Best budget-with-headroom option</t>
  </si>
  <si>
    <t>Bench-test reliability and temperature carefully</t>
  </si>
  <si>
    <t>https://www.rotorama.com/product/sequre-12100-5-12s-am32</t>
  </si>
  <si>
    <t>DarwinFPV Cement 12S 80A</t>
  </si>
  <si>
    <t>DarwinFPV</t>
  </si>
  <si>
    <t>Waterproof budget ESC</t>
  </si>
  <si>
    <t>BLHeli_32 / AM32 variants; DShot/MultiShot/OneShot</t>
  </si>
  <si>
    <t>4-12S</t>
  </si>
  <si>
    <t>80A continuous; 100A peak; potted/IP67 marketed</t>
  </si>
  <si>
    <t>Voltage/current fit; test before trusting for VTOL</t>
  </si>
  <si>
    <t>Waterproof/potted; budget 80A</t>
  </si>
  <si>
    <t>Less proven than industrial UAV ESCs</t>
  </si>
  <si>
    <t>https://darwinfpv.com/products/darwinfpv-cement-ultra-durable-blheli_32-12s-80a-waterproof-esc</t>
  </si>
  <si>
    <t>Hobbywing XRotor Pro H80A HV V3</t>
  </si>
  <si>
    <t>Hobbywing</t>
  </si>
  <si>
    <t>Reliable 12S/14S lift ESC</t>
  </si>
  <si>
    <t>PWM/CAN depending version; industrial logging/diagnostics</t>
  </si>
  <si>
    <t>6-14S</t>
  </si>
  <si>
    <t>80A continuous class; UAV/industrial orientation</t>
  </si>
  <si>
    <t>Very good 12S choice</t>
  </si>
  <si>
    <t>More reliable brand; wide voltage margin</t>
  </si>
  <si>
    <t>Still not ultra-cheap; details vary by version</t>
  </si>
  <si>
    <t>https://www.hobbywing.com/en/products/-xrotorh80a14sbldc</t>
  </si>
  <si>
    <t>T-Motor FLAME 80A 12S V2</t>
  </si>
  <si>
    <t>T-Motor</t>
  </si>
  <si>
    <t>Known UAV lift ESC</t>
  </si>
  <si>
    <t>Square-wave UAV ESC; PWM; 600Hz-class</t>
  </si>
  <si>
    <t>6-12S</t>
  </si>
  <si>
    <t>80A continuous; 120A peak 10s; IP56; aluminum case; protections</t>
  </si>
  <si>
    <t>Very good with 12S; keep PDB current limits in mind</t>
  </si>
  <si>
    <t>Known/proven UAV ESC</t>
  </si>
  <si>
    <t>Cost x4 is high</t>
  </si>
  <si>
    <t>https://store.tmotor.com/product/flame-80a-12s-v2-esc.html</t>
  </si>
  <si>
    <t>T-Motor Alpha 80A HV</t>
  </si>
  <si>
    <t>Premium FOC lift ESC</t>
  </si>
  <si>
    <t>FOC/vector control; T-Motor tooling</t>
  </si>
  <si>
    <t>80A class; lower noise/temperature behavior</t>
  </si>
  <si>
    <t>Excellent for 12S VTOL</t>
  </si>
  <si>
    <t>Smooth FOC behavior; premium reliability</t>
  </si>
  <si>
    <t>Costly; same 80A class</t>
  </si>
  <si>
    <t>https://store.tmotor.com/product/alpha-80a-12s-esc.html</t>
  </si>
  <si>
    <t>Flycolor X-Cross HV3 120A</t>
  </si>
  <si>
    <t>Value headroom ESC</t>
  </si>
  <si>
    <t>BLHeli_32</t>
  </si>
  <si>
    <t>120A class; single ESC</t>
  </si>
  <si>
    <t>Voltage OK; current exceeds FCHUB continuous path unless bypassed/derated</t>
  </si>
  <si>
    <t>Big headroom for money</t>
  </si>
  <si>
    <t>PDB bottleneck and cooling; only useful if distribution upgraded</t>
  </si>
  <si>
    <t>T-Motor Alpha 120A 12S</t>
  </si>
  <si>
    <t>Heavy-duty premium ESC</t>
  </si>
  <si>
    <t>FOC/vector control</t>
  </si>
  <si>
    <t>12S class</t>
  </si>
  <si>
    <t>120A continuous class</t>
  </si>
  <si>
    <t>Works electrically; overkill unless current data justifies it</t>
  </si>
  <si>
    <t>High margin</t>
  </si>
  <si>
    <t>Too expensive for current budget; PDB bottleneck</t>
  </si>
  <si>
    <t>https://store.tmotor.com/product/alpha-120a-12s-esc.html</t>
  </si>
  <si>
    <t>APD 200F3</t>
  </si>
  <si>
    <t>APD</t>
  </si>
  <si>
    <t>Extreme high-power ESC</t>
  </si>
  <si>
    <t>APD firmware / high-rate protocols</t>
  </si>
  <si>
    <t>Up to 14S / 60V</t>
  </si>
  <si>
    <t>200A class; peak power very high</t>
  </si>
  <si>
    <t>Electrically compatible; far beyond budget and likely overkill</t>
  </si>
  <si>
    <t>Maximum margin/performance</t>
  </si>
  <si>
    <t>Very expensive; needs serious distribution/cooling</t>
  </si>
  <si>
    <t>https://powerdrives.net/200f3</t>
  </si>
  <si>
    <t>Lumenier Elite Pro 100A 6-12S 4-in-1</t>
  </si>
  <si>
    <t>Lumenier</t>
  </si>
  <si>
    <t>Compact 4-in-1 ESC</t>
  </si>
  <si>
    <t>AM32; DShot/OneShot/MultiShot/PWM; telemetry</t>
  </si>
  <si>
    <t>100A continuous / 120A peak per channel</t>
  </si>
  <si>
    <t>Works for compact centralized quad core; not ideal for distributed wing VTOL</t>
  </si>
  <si>
    <t>Clean packaging</t>
  </si>
  <si>
    <t>Single point of failure; expensive</t>
  </si>
  <si>
    <t>https://www.lumenier.com/products/lumenier-elite-pro-100a-v2-1-6-12s-4-in-1-am32-esc-30x30</t>
  </si>
  <si>
    <t>Not suitable</t>
  </si>
  <si>
    <t>T-Motor FLAME 70A 6S</t>
  </si>
  <si>
    <t>Earlier 6S option</t>
  </si>
  <si>
    <t>UAV ESC</t>
  </si>
  <si>
    <t>4-6S</t>
  </si>
  <si>
    <t>70A continuous / 80A peak</t>
  </si>
  <si>
    <t>Not suitable for current raw 12S propulsion bus</t>
  </si>
  <si>
    <t>Good for 6S designs</t>
  </si>
  <si>
    <t>Not 12S-compatible</t>
  </si>
  <si>
    <t>https://uav-en.tmotor.com/Multirotor/ESC/flame/</t>
  </si>
  <si>
    <t>T-Motor Alpha 60A 6S</t>
  </si>
  <si>
    <t>FOC</t>
  </si>
  <si>
    <t>60A class</t>
  </si>
  <si>
    <t>Smooth 6S FOC</t>
  </si>
  <si>
    <t>https://store.tmotor.com/product/alpha-60a-6s-esc.html</t>
  </si>
  <si>
    <t>Power_PDB comparison</t>
  </si>
  <si>
    <t>Matek FCHUB-12S V2</t>
  </si>
  <si>
    <t>4-ESC PDB + 5V/12V regulators + current sensor</t>
  </si>
  <si>
    <t>Analog voltage/current to FC; BLHeli telemetry pads</t>
  </si>
  <si>
    <t>8-60V / 3-12S</t>
  </si>
  <si>
    <t>PDB 4x70A continuous, 4x110A burst; 440A current sensor; 5V 5A; 12V 4A</t>
  </si>
  <si>
    <t>Good budget PDB if each ESC path stays &lt;=70A continuous</t>
  </si>
  <si>
    <t>Cheap; direct 12S; integrates power rails and current sensing</t>
  </si>
  <si>
    <t>Current path is bottleneck for &gt;70A/channel; not servo BEC</t>
  </si>
  <si>
    <t>https://www.mateksys.com/?portfolio=fchub-12s</t>
  </si>
  <si>
    <t>Holybro PM02D 12S HV</t>
  </si>
  <si>
    <t>Pixhawk power module / avionics supply</t>
  </si>
  <si>
    <t>I2C voltage/current monitor</t>
  </si>
  <si>
    <t>2-12S</t>
  </si>
  <si>
    <t>5.2V 3A; PCB 60A continuous / 100A burst; max current sensing 327A</t>
  </si>
  <si>
    <t>Good for FC power, not main propulsion distribution</t>
  </si>
  <si>
    <t>Cheap Pixhawk power module</t>
  </si>
  <si>
    <t>Do not run all lift ESC current through it</t>
  </si>
  <si>
    <t>https://holybro.com/products/pm02d-power-module</t>
  </si>
  <si>
    <t>Matek CAN-L4-BM</t>
  </si>
  <si>
    <t>DroneCAN battery monitor</t>
  </si>
  <si>
    <t>DroneCAN / AP_Periph</t>
  </si>
  <si>
    <t>0-85V</t>
  </si>
  <si>
    <t>150A continuous path; 204.8A burst; digital telemetry</t>
  </si>
  <si>
    <t>Good for ArduPilot CAN systems; not enough for full 4x high-current bus if &gt;150A</t>
  </si>
  <si>
    <t>Accurate digital monitoring; low cost</t>
  </si>
  <si>
    <t>Monitor only; not high-current PDB or servo rail</t>
  </si>
  <si>
    <t>https://www.mateksys.com/?portfolio=can-l4-bm</t>
  </si>
  <si>
    <t>Matek PM12S-3</t>
  </si>
  <si>
    <t>12S power module / power hub</t>
  </si>
  <si>
    <t>Analog power module</t>
  </si>
  <si>
    <t>9-55V</t>
  </si>
  <si>
    <t>5V 4A; 12V 4A; Vx 5.25/6/8V 15A continuous / 25A peak</t>
  </si>
  <si>
    <t>Excellent 12S support module, especially for servo rail</t>
  </si>
  <si>
    <t>Combines avionics and servo power</t>
  </si>
  <si>
    <t>Not a main 4x ESC distribution board by itself</t>
  </si>
  <si>
    <t>https://www.mateksys.com/?portfolio=pm12s-3</t>
  </si>
  <si>
    <t>CUAV PMU 2 Lite</t>
  </si>
  <si>
    <t>High-voltage PMU / current monitor</t>
  </si>
  <si>
    <t>CAN communication</t>
  </si>
  <si>
    <t>20-70V</t>
  </si>
  <si>
    <t>220A current detection; ±0.1A / ±0.05V measurement claimed</t>
  </si>
  <si>
    <t>Very good for CUAV/Pixhawk 12S architecture</t>
  </si>
  <si>
    <t>Natural 12S PMU for CUAV systems</t>
  </si>
  <si>
    <t>Best with CUAV ecosystem; continuous current details require review</t>
  </si>
  <si>
    <t>https://www.cuav.net/en/pmu-2-lite-en/</t>
  </si>
  <si>
    <t>Holybro PM08-CAN</t>
  </si>
  <si>
    <t>High-current DroneCAN power module</t>
  </si>
  <si>
    <t>DroneCAN</t>
  </si>
  <si>
    <t>7-60.9V / 2-14S</t>
  </si>
  <si>
    <t>200A continuous; 400A burst 1s; max current sensing 376A; 5.3V/3A outputs</t>
  </si>
  <si>
    <t>Excellent for 12S Pixhawk/Cube/ArduPilot</t>
  </si>
  <si>
    <t>Best high-current off-the-shelf monitor discussed</t>
  </si>
  <si>
    <t>More expensive than FCHUB; not a 4-ESC PDB layout</t>
  </si>
  <si>
    <t>https://holybro.com/products/dronecan-pm08-power-module-14s-200a</t>
  </si>
  <si>
    <t>Mauch power module system</t>
  </si>
  <si>
    <t>Mauch</t>
  </si>
  <si>
    <t>Premium Pixhawk/Cube power monitoring</t>
  </si>
  <si>
    <t>Analog / Pixhawk power inputs</t>
  </si>
  <si>
    <t>Sensor boards up to ~85V depending model</t>
  </si>
  <si>
    <t>50A / 100A / 200A sensor classes; clean 5.35V supply options</t>
  </si>
  <si>
    <t>Excellent professional 12S option</t>
  </si>
  <si>
    <t>Very reliable reputation in ArduPilot builds</t>
  </si>
  <si>
    <t>Not cheap; requires selecting sensor+BEC combo</t>
  </si>
  <si>
    <t>https://ardupilot.org/copter/docs/common-mauch-power-modules.html</t>
  </si>
  <si>
    <t>Special</t>
  </si>
  <si>
    <t>Matek HCS-150A</t>
  </si>
  <si>
    <t>Analog Hall-effect current sensor</t>
  </si>
  <si>
    <t>Analog current/voltage to FC</t>
  </si>
  <si>
    <t>0-69V</t>
  </si>
  <si>
    <t>150A continuous hall sensor</t>
  </si>
  <si>
    <t>Works with 12S, but may be low for full propulsion current</t>
  </si>
  <si>
    <t>Cheap, low loss</t>
  </si>
  <si>
    <t>Not a full PDB; current margin limited</t>
  </si>
  <si>
    <t>https://www.mateksys.com/?portfolio=hcs-150a</t>
  </si>
  <si>
    <t>BEC_ServoPower comparison</t>
  </si>
  <si>
    <t>Matek BEC 12S</t>
  </si>
  <si>
    <t>Small accessory BEC</t>
  </si>
  <si>
    <t>None</t>
  </si>
  <si>
    <t>6-60V input</t>
  </si>
  <si>
    <t>Selectable 5V/9V/12V; low-current accessory rail</t>
  </si>
  <si>
    <t>Direct 12S OK; not for heavy servos</t>
  </si>
  <si>
    <t>Very cheap; good for small loads</t>
  </si>
  <si>
    <t>Not a heavy servo supply</t>
  </si>
  <si>
    <t>https://n-factory.de/Matek-BEC-12s-6-60V-to-5-9-12V</t>
  </si>
  <si>
    <t>Matek BEC12S-PRO</t>
  </si>
  <si>
    <t>Accessory/light-servo BEC</t>
  </si>
  <si>
    <t>Selectable 5.2/8/12V; 5A continuous / 9A peak</t>
  </si>
  <si>
    <t>Direct 12S OK; light/moderate loads</t>
  </si>
  <si>
    <t>Good budget regulated rail</t>
  </si>
  <si>
    <t>Too small for multiple high-torque tilt servos</t>
  </si>
  <si>
    <t>https://www.mateksys.com/?portfolio=bec12s-pro</t>
  </si>
  <si>
    <t>Matek SVPDB-12S</t>
  </si>
  <si>
    <t>Servo PDB / servo BEC</t>
  </si>
  <si>
    <t>5/6/8V; 12A continuous / 20A burst; 10 PWM pass-through outputs</t>
  </si>
  <si>
    <t>Good budget servo rail for 12S</t>
  </si>
  <si>
    <t>Much better than small BEC for servos</t>
  </si>
  <si>
    <t>No reverse-polarity protection; still limited for extreme tilt loads</t>
  </si>
  <si>
    <t>https://www.mateksys.com/?portfolio=svpdb-12s</t>
  </si>
  <si>
    <t>Hobbywing UBEC 10A HV</t>
  </si>
  <si>
    <t>Servo/accessory BEC</t>
  </si>
  <si>
    <t>3-14S</t>
  </si>
  <si>
    <t>6.0/7.4/8.4V adjustable; 10A continuous / 25A peak</t>
  </si>
  <si>
    <t>Direct 12S OK; good for V-tail/moderate servos</t>
  </si>
  <si>
    <t>Good non-Matek budget servo BEC</t>
  </si>
  <si>
    <t>May be small for dual tilt servos</t>
  </si>
  <si>
    <t>https://www.hobbywing.com/en/products/ubec-10a-hv289</t>
  </si>
  <si>
    <t>Castle CC BEC Pro</t>
  </si>
  <si>
    <t>Castle Creations</t>
  </si>
  <si>
    <t>Heavy servo BEC</t>
  </si>
  <si>
    <t>Castle Link adjustable</t>
  </si>
  <si>
    <t>Up to 12S / 50.4V</t>
  </si>
  <si>
    <t>20A peak; adjustable 4.8-12.5V; 48V continuous current around 8A according to retailer tables</t>
  </si>
  <si>
    <t>Direct 12S OK; good for high-torque servos</t>
  </si>
  <si>
    <t>Proven for large airplanes/multi-servo systems</t>
  </si>
  <si>
    <t>Continuous rating derates at high input voltage; airflow needed</t>
  </si>
  <si>
    <t>https://www.castlecreations.com/en/cc-bec-pro-010-0004-01</t>
  </si>
  <si>
    <t>Hobbywing UBEC 25A HV</t>
  </si>
  <si>
    <t>Strong servo BEC</t>
  </si>
  <si>
    <t>3-18S</t>
  </si>
  <si>
    <t>5.2/6.0/7.4/8.4V adjustable; 25A continuous / 50A peak</t>
  </si>
  <si>
    <t>Excellent for 12S and tilt/servo systems</t>
  </si>
  <si>
    <t>Very strong servo power; wide voltage</t>
  </si>
  <si>
    <t>Larger/heavier/more expensive</t>
  </si>
  <si>
    <t>https://www.hobbywing.com/en/products/ubec-25a-hv95</t>
  </si>
  <si>
    <t>Matek PM20S-2</t>
  </si>
  <si>
    <t>High-voltage dual BEC power module</t>
  </si>
  <si>
    <t>9-85V</t>
  </si>
  <si>
    <t>Two independent BECs, each 15A continuous / 22A peak; 5.3/6.1/8.1/12.2V options</t>
  </si>
  <si>
    <t>Very strong 12S servo/avionics power hub</t>
  </si>
  <si>
    <t>Strongest integrated Matek rail discussed</t>
  </si>
  <si>
    <t>More complex than needed for simple V-tail</t>
  </si>
  <si>
    <t>https://www.mateksys.com/?portfolio=pm20s-2</t>
  </si>
  <si>
    <t>GPS_Compass comparison</t>
  </si>
  <si>
    <t>Beitian BN-880</t>
  </si>
  <si>
    <t>Beitian</t>
  </si>
  <si>
    <t>GPS + compass</t>
  </si>
  <si>
    <t>UART GNSS + I2C compass; ArduPilot/INAV</t>
  </si>
  <si>
    <t>5V regulated</t>
  </si>
  <si>
    <t>u-blox M8N class; HMC5883L compass; GPS/GLONASS/Galileo/BeiDou/QZSS/SBAS</t>
  </si>
  <si>
    <t>Works in 12S aircraft through 5V rail</t>
  </si>
  <si>
    <t>Cheapest working GPS/compass</t>
  </si>
  <si>
    <t>Quality control and compass consistency lower than premium</t>
  </si>
  <si>
    <t>https://ardupilot.org/sub/docs/common-beitian-gps.html</t>
  </si>
  <si>
    <t>Matek M10Q-5883</t>
  </si>
  <si>
    <t>UART + I2C</t>
  </si>
  <si>
    <t>4-9V regulated</t>
  </si>
  <si>
    <t>u-blox M10; GPS/GLONASS/Galileo/BeiDou; QMC5883L compass</t>
  </si>
  <si>
    <t>Works through 5V rail</t>
  </si>
  <si>
    <t>Good value M10 GNSS</t>
  </si>
  <si>
    <t>EOL/availability issue</t>
  </si>
  <si>
    <t>https://www.mateksys.com/?portfolio=m10q-5883</t>
  </si>
  <si>
    <t>Holybro M10 GPS</t>
  </si>
  <si>
    <t>GPS + compass + buzzer/safety switch module</t>
  </si>
  <si>
    <t>UART GNSS + I2C compass</t>
  </si>
  <si>
    <t>u-blox M10; multi-constellation; compass, LED, buzzer, safety switch in standard modules</t>
  </si>
  <si>
    <t>Good with Pixhawk/ArduPilot/INAV</t>
  </si>
  <si>
    <t>Better package than BN-880</t>
  </si>
  <si>
    <t>More expensive</t>
  </si>
  <si>
    <t>https://holybro.com/products/m10-gps</t>
  </si>
  <si>
    <t>Holybro M9N GPS</t>
  </si>
  <si>
    <t>UART GNSS + compass</t>
  </si>
  <si>
    <t>u-blox M9N; IST8310 compass; LED/safety switch variants</t>
  </si>
  <si>
    <t>Good with Pixhawk/Cube</t>
  </si>
  <si>
    <t>Mature Pixhawk-friendly GPS</t>
  </si>
  <si>
    <t>Not RTK; pricier than budget modules</t>
  </si>
  <si>
    <t>https://docs.holybro.com/gps-and-rtk-system/m8n-m9n-m10-gps/standard-m10-m9n-m8n-gps/overview</t>
  </si>
  <si>
    <t>Holybro DroneCAN M9N/M10 GPS</t>
  </si>
  <si>
    <t>CAN GPS + compass</t>
  </si>
  <si>
    <t>Regulated CAN power</t>
  </si>
  <si>
    <t>CAN-based GNSS/compass; reduces UART use and EMI issues</t>
  </si>
  <si>
    <t>Best with ArduPilot Pixhawk/Cube/CUAV CAN</t>
  </si>
  <si>
    <t>Cleaner wiring; better for serious UAV</t>
  </si>
  <si>
    <t>More expensive; requires CAN setup</t>
  </si>
  <si>
    <t>https://docs.holybro.com/gps-and-rtk-system/m8n-m9n-m10-gps/dronecan-m9n-m8n/overview</t>
  </si>
  <si>
    <t>Here3+</t>
  </si>
  <si>
    <t>DroneCAN GPS; RTK-ready ecosystem</t>
  </si>
  <si>
    <t>DroneCAN/AP_Periph</t>
  </si>
  <si>
    <t>CAN GNSS; premium Cube ecosystem; RTK-ready</t>
  </si>
  <si>
    <t>Excellent with Cube/Pixhawk ArduPilot</t>
  </si>
  <si>
    <t>Reliable navigation ecosystem</t>
  </si>
  <si>
    <t>Big price jump</t>
  </si>
  <si>
    <t>https://docs.cubepilot.org/user-guides/here-3/here-3-manual</t>
  </si>
  <si>
    <t>Here4</t>
  </si>
  <si>
    <t>Premium multiband RTK GNSS</t>
  </si>
  <si>
    <t>u-blox F9P; dual-band/multiband RTK; H7 processing</t>
  </si>
  <si>
    <t>Excellent if RTK is needed</t>
  </si>
  <si>
    <t>Best navigation option discussed</t>
  </si>
  <si>
    <t>Unnecessary unless RTK precision needed</t>
  </si>
  <si>
    <t>https://docs.cubepilot.org/user-guides/here-4/here-4-manual</t>
  </si>
  <si>
    <t>Receivers comparison</t>
  </si>
  <si>
    <t>RadioMaster RP1</t>
  </si>
  <si>
    <t>RadioMaster</t>
  </si>
  <si>
    <t>RC receiver</t>
  </si>
  <si>
    <t>ExpressLRS / CRSF</t>
  </si>
  <si>
    <t>2.4GHz ELRS; 10mW telemetry; 500Hz/F1000Hz; 2.2g</t>
  </si>
  <si>
    <t>Excellent with ArduPilot/INAV serial CRSF</t>
  </si>
  <si>
    <t>Cheapest modern RC link</t>
  </si>
  <si>
    <t>Single antenna; less robust than diversity</t>
  </si>
  <si>
    <t>https://radiomasterrc.com/products/rp1-expresslrs-2-4ghz-nano-receiver</t>
  </si>
  <si>
    <t>RadioMaster RP4TD</t>
  </si>
  <si>
    <t>Diversity RC receiver</t>
  </si>
  <si>
    <t>4.5-12V</t>
  </si>
  <si>
    <t>Dual SX1281; 2x antennas; max 2x100mW telemetry; 1.4g without antennas</t>
  </si>
  <si>
    <t>Excellent for serious budget build</t>
  </si>
  <si>
    <t>Best value robust receiver</t>
  </si>
  <si>
    <t>Requires ELRS transmitter module/radio</t>
  </si>
  <si>
    <t>https://radiomasterrc.com/products/rp4td-expresslrs-2-4ghz-diversity-receiver</t>
  </si>
  <si>
    <t>TBS Crossfire Nano RX</t>
  </si>
  <si>
    <t>Long-range RC receiver</t>
  </si>
  <si>
    <t>Crossfire / CRSF</t>
  </si>
  <si>
    <t>3.3-8.4V</t>
  </si>
  <si>
    <t>868/915MHz; CRSF/SBUS/PPM/PWM; 0.5g; long-range ecosystem</t>
  </si>
  <si>
    <t>Good with ArduPilot/INAV CRSF</t>
  </si>
  <si>
    <t>Proven long-range ecosystem</t>
  </si>
  <si>
    <t>Proprietary; pricier than ELRS</t>
  </si>
  <si>
    <t>https://www.team-blacksheep.com/products/prod%3Acrossfire_nano_rx</t>
  </si>
  <si>
    <t>TBS Crossfire Diversity Nano RX</t>
  </si>
  <si>
    <t>Diversity long-range RC receiver</t>
  </si>
  <si>
    <t>Diversity antennas; 12 channels; 1.8g</t>
  </si>
  <si>
    <t>Good for larger aircraft</t>
  </si>
  <si>
    <t>More robust than single Nano RX</t>
  </si>
  <si>
    <t>More expensive than ELRS diversity</t>
  </si>
  <si>
    <t>https://www.team-blacksheep.com/products/prod%3Axf_nano_div_rx</t>
  </si>
  <si>
    <t>FrSky Archer Plus GR6</t>
  </si>
  <si>
    <t>FrSky</t>
  </si>
  <si>
    <t>RC receiver / PWM fallback</t>
  </si>
  <si>
    <t>ACCESS/ACCST D16; SBUS/FBUS</t>
  </si>
  <si>
    <t>3.5-10V</t>
  </si>
  <si>
    <t>6 PWM outputs; built-in variometer; SBUS/FBUS</t>
  </si>
  <si>
    <t>Works if you are already in FrSky ecosystem</t>
  </si>
  <si>
    <t>Useful with FrSky radios</t>
  </si>
  <si>
    <t>Less attractive than ELRS value</t>
  </si>
  <si>
    <t>https://www.frsky-rc.com/product/archer-plus-gr6/</t>
  </si>
  <si>
    <t>Jeti REX 7 Assist</t>
  </si>
  <si>
    <t>Jeti</t>
  </si>
  <si>
    <t>Premium RC receiver</t>
  </si>
  <si>
    <t>Jeti Duplex EX</t>
  </si>
  <si>
    <t>3.2-8.4V</t>
  </si>
  <si>
    <t>7 channels; telemetry; assist/stabilization</t>
  </si>
  <si>
    <t>Only if using Jeti ecosystem</t>
  </si>
  <si>
    <t>Premium radio ecosystem</t>
  </si>
  <si>
    <t>Expensive and unnecessary unless already Jeti</t>
  </si>
  <si>
    <t>https://www.jetimodel.com/receivers/duplex-rex-assist/</t>
  </si>
  <si>
    <t>Telemetry comparison</t>
  </si>
  <si>
    <t>No dedicated telemetry initially</t>
  </si>
  <si>
    <t>N/A</t>
  </si>
  <si>
    <t>Configure via USB + onboard logs</t>
  </si>
  <si>
    <t>USB + SD logs</t>
  </si>
  <si>
    <t>No radio; rely on RC link and blackbox/SD logs</t>
  </si>
  <si>
    <t>Works for bench and very short tests</t>
  </si>
  <si>
    <t>Saves money</t>
  </si>
  <si>
    <t>Harder/sometimes unsafe for VTOL tuning</t>
  </si>
  <si>
    <t>Holybro SiK Telemetry Radio V3 100mW</t>
  </si>
  <si>
    <t>Ground-station telemetry</t>
  </si>
  <si>
    <t>SiK / MAVLink serial</t>
  </si>
  <si>
    <t>5V/USB/UART</t>
  </si>
  <si>
    <t>20 dBm; transparent serial link; Mission Planner/QGC</t>
  </si>
  <si>
    <t>Works with ArduPilot/PX4, also MAVLink-capable setups</t>
  </si>
  <si>
    <t>Standard telemetry option</t>
  </si>
  <si>
    <t>Range limited compared with higher-power links</t>
  </si>
  <si>
    <t>https://docs.holybro.com/radio/sik-telemetry-radio-v3</t>
  </si>
  <si>
    <t>Holybro SiK Telemetry Radio V3 500mW</t>
  </si>
  <si>
    <t>27 dBm; transparent serial link</t>
  </si>
  <si>
    <t>Works with ArduPilot/PX4</t>
  </si>
  <si>
    <t>More link margin</t>
  </si>
  <si>
    <t>Check legality/frequency in your country</t>
  </si>
  <si>
    <t>Holybro SiK Telemetry Radio Long Range 1W</t>
  </si>
  <si>
    <t>Longer-range telemetry</t>
  </si>
  <si>
    <t>7-28V via XT30 for 1W version</t>
  </si>
  <si>
    <t>30 dBm; 433/915MHz variants</t>
  </si>
  <si>
    <t>Good, but frequency regulations matter</t>
  </si>
  <si>
    <t>Higher power/range</t>
  </si>
  <si>
    <t>More power draw; regional legality</t>
  </si>
  <si>
    <t>https://holybro.com/products/sik-telemetry-radio-1w</t>
  </si>
  <si>
    <t>RFD868x / RFD900x</t>
  </si>
  <si>
    <t>RFDesign</t>
  </si>
  <si>
    <t>Long-range telemetry modem</t>
  </si>
  <si>
    <t>SiK-derived / MAVLink serial</t>
  </si>
  <si>
    <t>Regulated supply</t>
  </si>
  <si>
    <t>1W class; 868MHz variant preferred in EU</t>
  </si>
  <si>
    <t>Excellent for ArduPilot/Pixhawk long-range</t>
  </si>
  <si>
    <t>Serious long-range telemetry</t>
  </si>
  <si>
    <t>Cost; 900MHz not EU-compliant</t>
  </si>
  <si>
    <t>https://rfdesign.com.au/</t>
  </si>
  <si>
    <t>HereLink</t>
  </si>
  <si>
    <t>Integrated RC + telemetry + HD video</t>
  </si>
  <si>
    <t>CubePilot/Solex/QGC ecosystem</t>
  </si>
  <si>
    <t>Air unit regulated input</t>
  </si>
  <si>
    <t>HD video 1080p60; integrated controller/air unit</t>
  </si>
  <si>
    <t>Works with Cube/Pixhawk-style builds</t>
  </si>
  <si>
    <t>Integrated system</t>
  </si>
  <si>
    <t>Very expensive and overkill for budget build</t>
  </si>
  <si>
    <t>https://docs.cubepilot.org/user-guides/herelink/herelink-overview</t>
  </si>
  <si>
    <t>Airspeed comparison</t>
  </si>
  <si>
    <t>Generic MS4525DO airspeed kit</t>
  </si>
  <si>
    <t>Generic/Holybro-compatible</t>
  </si>
  <si>
    <t>Airspeed sensor</t>
  </si>
  <si>
    <t>I2C; ArduPilot ARSPD_TYPE=1</t>
  </si>
  <si>
    <t>1 psi class; pitot tube; I2C</t>
  </si>
  <si>
    <t>Good for fixed-wing/VTOL transition tuning</t>
  </si>
  <si>
    <t>Cheap and sufficient for many fixed wings</t>
  </si>
  <si>
    <t>Quality varies; I2C wiring susceptible to noise</t>
  </si>
  <si>
    <t>https://docs.holybro.com/peripherals/ms4525do-and-ms5525dso-i2c-airspeed-sensor</t>
  </si>
  <si>
    <t>Matek ASPD-4525</t>
  </si>
  <si>
    <t>I2C</t>
  </si>
  <si>
    <t>4-6V</t>
  </si>
  <si>
    <t>MS4525DO; ~5mA; ±0.25% span</t>
  </si>
  <si>
    <t>Works through 5V rail; good budget option</t>
  </si>
  <si>
    <t>Known FPV/UAV module</t>
  </si>
  <si>
    <t>I2C only</t>
  </si>
  <si>
    <t>https://www.mateksys.com/?portfolio=aspd-4525</t>
  </si>
  <si>
    <t>Holybro MS4525DO / MS5525DSO</t>
  </si>
  <si>
    <t>I2C; ArduPilot ARSPD_TYPE 1/4</t>
  </si>
  <si>
    <t>4.75-5.25V</t>
  </si>
  <si>
    <t>Digital pressure sensor; pitot kit; fixed-wing use</t>
  </si>
  <si>
    <t>Good with ArduPilot/Pixhawk/INAV setups</t>
  </si>
  <si>
    <t>Branded standard module</t>
  </si>
  <si>
    <t>Still I2C, unless DroneCAN version</t>
  </si>
  <si>
    <t>https://holybro.com/products/digital-air-speed-sensor-standard</t>
  </si>
  <si>
    <t>SIYI MS4525 Airspeed Sensor</t>
  </si>
  <si>
    <t>SIYI</t>
  </si>
  <si>
    <t>Small MS4525 airspeed module; ~3g excluding pitot/tube</t>
  </si>
  <si>
    <t>Good with compatible FC I2C</t>
  </si>
  <si>
    <t>Small, modern option</t>
  </si>
  <si>
    <t>Less discussed in ArduPilot community than Holybro/Matek</t>
  </si>
  <si>
    <t>https://siyi.biz/siyi_file/MS4525%20Airspeed%20Sensor/SIYI%20MS4525%20Airspeed%20Sensor%20V1.0.pdf</t>
  </si>
  <si>
    <t>Matek ASPD-DLVR</t>
  </si>
  <si>
    <t>High-precision airspeed sensor</t>
  </si>
  <si>
    <t>I2C + CAN/DroneCAN</t>
  </si>
  <si>
    <t>4.5-5.5V</t>
  </si>
  <si>
    <t>DLVR sensor family; CAN option; higher precision/low drift</t>
  </si>
  <si>
    <t>Excellent for ArduPilot VTOL</t>
  </si>
  <si>
    <t>Best airspeed sensor discussed</t>
  </si>
  <si>
    <t>Higher cost</t>
  </si>
  <si>
    <t>https://www.mateksys.com/?portfolio=aspd-dlvr</t>
  </si>
  <si>
    <t>Servos comparison</t>
  </si>
  <si>
    <t>JX PDI-6208MG</t>
  </si>
  <si>
    <t>JX</t>
  </si>
  <si>
    <t>Budget V-tail/control-surface servo</t>
  </si>
  <si>
    <t>PWM servo</t>
  </si>
  <si>
    <t>4.8-6V</t>
  </si>
  <si>
    <t>~8.2 kg·cm @6V; ~0.07s/60°; ~62g</t>
  </si>
  <si>
    <t>Use with 5/6V servo rail; not HV</t>
  </si>
  <si>
    <t>Cheap, strong enough for moderate surfaces</t>
  </si>
  <si>
    <t>Not premium; bench-test centering/backlash</t>
  </si>
  <si>
    <t>https://hobbyking.com/jx-pdi-6208mg-metal-gear-digital-servo-8-2kg-0-07sec-62g.html</t>
  </si>
  <si>
    <t>JX PDI-6221MG</t>
  </si>
  <si>
    <t>17.25 kg·cm @4.8V; 20.32 kg·cm @6V; 0.16s/60° @6V; 62g</t>
  </si>
  <si>
    <t>Use with 6V servo rail; acceptable budget V-tail option</t>
  </si>
  <si>
    <t>Very high torque per euro</t>
  </si>
  <si>
    <t>Heavier; budget servo quality</t>
  </si>
  <si>
    <t>https://www.jx-servo.com/en/Product/STANDARD/SD/555.html</t>
  </si>
  <si>
    <t>JX PDI-HV6223MG</t>
  </si>
  <si>
    <t>Budget HV servo</t>
  </si>
  <si>
    <t>HV 6-8.4V class</t>
  </si>
  <si>
    <t>~20kg class; metal gear</t>
  </si>
  <si>
    <t>Use with 7.4/8V rail after bench testing</t>
  </si>
  <si>
    <t>Cheap HV option</t>
  </si>
  <si>
    <t>Need bench data/quality check</t>
  </si>
  <si>
    <t>https://www.jx-servo.com/</t>
  </si>
  <si>
    <t>JX PDI-HV5932MG</t>
  </si>
  <si>
    <t>Stronger budget HV servo</t>
  </si>
  <si>
    <t>~30kg class; metal gear</t>
  </si>
  <si>
    <t>Use with strong BEC; verify stall current</t>
  </si>
  <si>
    <t>More torque than small servos</t>
  </si>
  <si>
    <t>Budget reliability; needs testing</t>
  </si>
  <si>
    <t>JX PDI-HV2060MG</t>
  </si>
  <si>
    <t>Budget tilt/nacelle servo</t>
  </si>
  <si>
    <t>6.0-7.4V</t>
  </si>
  <si>
    <t>48 kg·cm @6V; 62 kg·cm @7.4V; 0.13s/60° @7.4V; ~200g</t>
  </si>
  <si>
    <t>Works with 7.4V strong BEC; bench-test heavily before flight</t>
  </si>
  <si>
    <t>Flight-critical risk; heavy; budget QC</t>
  </si>
  <si>
    <t>https://www.jx-servo.com/en/Product/STANDARD/SD/544.html</t>
  </si>
  <si>
    <t>AGFRC B53CHS V2</t>
  </si>
  <si>
    <t>AGFRC</t>
  </si>
  <si>
    <t>Control surface or light tilt servo</t>
  </si>
  <si>
    <t>PWM servo; programmable</t>
  </si>
  <si>
    <t>4.8-8.4V</t>
  </si>
  <si>
    <t>24 kg·cm @8.4V; 0.08s/60°; coreless; steel gears</t>
  </si>
  <si>
    <t>Good with 8.4V rail; better than JX for reliability</t>
  </si>
  <si>
    <t>Strong and fast for price</t>
  </si>
  <si>
    <t>Still not top-tier aviation servo</t>
  </si>
  <si>
    <t>https://www.agfrc.com/index.php?id=2478</t>
  </si>
  <si>
    <t>MKS HV6150H</t>
  </si>
  <si>
    <t>MKS</t>
  </si>
  <si>
    <t>Thin V-tail/wing servo</t>
  </si>
  <si>
    <t>PWM HV servo</t>
  </si>
  <si>
    <t>10.9 kg·cm @8.2V; ~1.35A stall @8.2V; ~17g class</t>
  </si>
  <si>
    <t>Excellent for thin control surfaces</t>
  </si>
  <si>
    <t>High-quality wing servo; low stall current versus big servos</t>
  </si>
  <si>
    <t>Less brute torque than standard-size servos</t>
  </si>
  <si>
    <t>https://mksservo.eu/en/products/s0022017/</t>
  </si>
  <si>
    <t>KST X15-1208 V8</t>
  </si>
  <si>
    <t>KST</t>
  </si>
  <si>
    <t>Stronger control-surface servo</t>
  </si>
  <si>
    <t>6-8.4V</t>
  </si>
  <si>
    <t>13.5 kg·cm @8.4V; 0.07s/60° @8.4V</t>
  </si>
  <si>
    <t>Good for V-tail/control surfaces with 8V rail</t>
  </si>
  <si>
    <t>Strong and fast compact servo</t>
  </si>
  <si>
    <t>More expensive than JX</t>
  </si>
  <si>
    <t>https://www.kst-servo.com/</t>
  </si>
  <si>
    <t>Premium</t>
  </si>
  <si>
    <t>KST X08H V6</t>
  </si>
  <si>
    <t>Thin light wing servo</t>
  </si>
  <si>
    <t>3.8-8.4V</t>
  </si>
  <si>
    <t>~2.8 kg·cm @8.4V; very thin 8mm class</t>
  </si>
  <si>
    <t>Only for small/light surfaces</t>
  </si>
  <si>
    <t>Very thin and light</t>
  </si>
  <si>
    <t>Too little torque for large VTOL surfaces</t>
  </si>
  <si>
    <t>Savox SV-1270TG+</t>
  </si>
  <si>
    <t>Savox</t>
  </si>
  <si>
    <t>Premium tilt/nacelle/high-load servo</t>
  </si>
  <si>
    <t>6.0-8.4V</t>
  </si>
  <si>
    <t>40 kg·cm @7.4V; 45 kg·cm @8.4V; 0.10s/60°; 64g; stall current up to ~8A @8.4V</t>
  </si>
  <si>
    <t>Excellent for tilt with strong BEC</t>
  </si>
  <si>
    <t>Safer high-torque reference</t>
  </si>
  <si>
    <t>High current draw; expensive</t>
  </si>
  <si>
    <t>https://savox-servo.com/en/product/SV-1270TGplus/savox-servo-sv-1270tg-digital-high-voltage-coreless-motor-titanium-gear</t>
  </si>
  <si>
    <t>Battery_Motor_Misc comparison</t>
  </si>
  <si>
    <t>Required</t>
  </si>
  <si>
    <t>2x Turnigy Heavy Duty 5500mAh 6S 60C in series</t>
  </si>
  <si>
    <t>Turnigy/HobbyKing</t>
  </si>
  <si>
    <t>Main battery system</t>
  </si>
  <si>
    <t>12S equivalent: 44.4V nominal, 50.4V full</t>
  </si>
  <si>
    <t>Each pack: 5500mAh, 6S/22.2V, 60C, 773g, XT90; two in series = 244.2Wh</t>
  </si>
  <si>
    <t>Main 12S power source</t>
  </si>
  <si>
    <t>Uses chosen packs; doubles voltage</t>
  </si>
  <si>
    <t>Capacity remains 5.5Ah in series; high current still stresses connectors/wires</t>
  </si>
  <si>
    <t>https://hobbyking.com/en_us/turnigy-heavy-duty-5500mah-6s-60c-lipo-pack-w-xt90.html</t>
  </si>
  <si>
    <t>BrotherHobby Avenger 3120 motor</t>
  </si>
  <si>
    <t>BrotherHobby</t>
  </si>
  <si>
    <t>Lift motor</t>
  </si>
  <si>
    <t>8S/12S motor family</t>
  </si>
  <si>
    <t>500KV/700KV; 12N14P; 142.7g; 16AWG leads; M5 prop shaft</t>
  </si>
  <si>
    <t>500KV is the cleaner 12S choice; 700KV on 12S requires prop/current testing</t>
  </si>
  <si>
    <t>Large motor class for VTOL lift</t>
  </si>
  <si>
    <t>Must match prop/current/ESC; bench-test temperature</t>
  </si>
  <si>
    <t>https://www.brotherhobbystore.com/products/avenger-3120-motor-149</t>
  </si>
  <si>
    <t>5V active buzzer</t>
  </si>
  <si>
    <t>Generic / Matek / Holybro</t>
  </si>
  <si>
    <t>Lost-model / warning buzzer</t>
  </si>
  <si>
    <t>FC buzzer output</t>
  </si>
  <si>
    <t>Active buzzer, simple 2-wire connection</t>
  </si>
  <si>
    <t>Works with most FCs</t>
  </si>
  <si>
    <t>Cheap safety/debug item</t>
  </si>
  <si>
    <t>May be redundant if GPS module has buzzer</t>
  </si>
  <si>
    <t>https://github.com/iNavFlight/inav/blob/master/docs/Buzzer.md</t>
  </si>
  <si>
    <t>Main series harness / anti-spark / arming plug</t>
  </si>
  <si>
    <t>Generic</t>
  </si>
  <si>
    <t>Connect 2x6S into 12S safely</t>
  </si>
  <si>
    <t>50.4V full; high current</t>
  </si>
  <si>
    <t>Use high-current connectors/wire; avoid thin leads; include arming plug or anti-spark loop</t>
  </si>
  <si>
    <t>Required for 12S system</t>
  </si>
  <si>
    <t>Prevents accidental live system and connector arcing</t>
  </si>
  <si>
    <t>Must be sized for real current, not just battery C-rating</t>
  </si>
  <si>
    <t>https://docs.holybro.com/power-module-and-pdb/power-module/connector-and-wire-rating</t>
  </si>
  <si>
    <t>High-current silicone wire</t>
  </si>
  <si>
    <t>Power wiring</t>
  </si>
  <si>
    <t>12S bus</t>
  </si>
  <si>
    <t>Use wire gauge based on actual current and length; keep ESC/battery leads short</t>
  </si>
  <si>
    <t>Critical for ESC/PDB safety</t>
  </si>
  <si>
    <t>Reduces voltage drop/heat</t>
  </si>
  <si>
    <t>Wrong gauge can overheat</t>
  </si>
  <si>
    <t>Recommended</t>
  </si>
  <si>
    <t>Cooling airflow / vents</t>
  </si>
  <si>
    <t>Airframe design</t>
  </si>
  <si>
    <t>Thermal management</t>
  </si>
  <si>
    <t>ESCs in prop wash; fuselage inlet/outlet; outlet area ~2x inlet as a starting point</t>
  </si>
  <si>
    <t>Required for budget ESCs and BECs under load</t>
  </si>
  <si>
    <t>Free thermal margin</t>
  </si>
  <si>
    <t>Needs design space and testing</t>
  </si>
  <si>
    <t>12S VTOL electronics comparison — design summary</t>
  </si>
  <si>
    <t>System assumption</t>
  </si>
  <si>
    <t>Value</t>
  </si>
  <si>
    <t>Formula / note</t>
  </si>
  <si>
    <t>Engineering consequence</t>
  </si>
  <si>
    <t>Battery architecture</t>
  </si>
  <si>
    <t>2x 6S 5500mAh in series</t>
  </si>
  <si>
    <t>Vnom = 22.2+22.2 = 44.4V; Vfull = 50.4V</t>
  </si>
  <si>
    <t>ESCs/PDB/PMU must be 12S-rated; FC/servos get regulated voltage</t>
  </si>
  <si>
    <t>Energy</t>
  </si>
  <si>
    <t>244.2 Wh</t>
  </si>
  <si>
    <t>44.4V × 5.5Ah</t>
  </si>
  <si>
    <t>Capacity remains 5.5Ah in series; voltage doubles</t>
  </si>
  <si>
    <t>Motor family</t>
  </si>
  <si>
    <t>BrotherHobby Avenger 3120</t>
  </si>
  <si>
    <t>500KV preferred for 12S; 700KV requires lower prop/current testing</t>
  </si>
  <si>
    <t>PDB bottleneck if using FCHUB-12S</t>
  </si>
  <si>
    <t>4×70A continuous</t>
  </si>
  <si>
    <t>Total continuous path ≈ 280A</t>
  </si>
  <si>
    <t>80-100A ESCs do not help if the PDB path is still limited to 70A/channel</t>
  </si>
  <si>
    <t>Best budget FC</t>
  </si>
  <si>
    <t>Direct 12S and H7</t>
  </si>
  <si>
    <t>Best value if ArduPilot is acceptable</t>
  </si>
  <si>
    <t>Best INAV-friendly FC</t>
  </si>
  <si>
    <t>Holybro Kakute H743-Wing or Matek H743-SLIM V4</t>
  </si>
  <si>
    <t>Use regulated power</t>
  </si>
  <si>
    <t>More setup wiring than direct-12S TBS Lucid</t>
  </si>
  <si>
    <t>Best budget ESC</t>
  </si>
  <si>
    <t>Flycolor X-Cross HV3 80A or Sequre 12100</t>
  </si>
  <si>
    <t>True 12S voltage; budget price</t>
  </si>
  <si>
    <t>Bench-test temperature and current before flight</t>
  </si>
  <si>
    <t>Best budget servo power</t>
  </si>
  <si>
    <t>Hobbywing UBEC 10A HV or Matek SVPDB-12S</t>
  </si>
  <si>
    <t>Direct 12S input</t>
  </si>
  <si>
    <t>For tilt servos use 25A HV BEC / Castle / PM12S-3 class</t>
  </si>
  <si>
    <t>Where not to save money</t>
  </si>
  <si>
    <t>Servo power + high-current wiring</t>
  </si>
  <si>
    <t>Brownout or hot connector can crash aircraft</t>
  </si>
  <si>
    <t>Use conservative wire/connector sizing and temperature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</si>
</sst>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#,##0.00"/>
  </numFmts>
  <fonts count="5">
    <font>
      <sz val="11"/>
      <name val="Carlito"/>
    </font>
    <font>
      <b/>
      <sz val="14"/>
      <color rgb="FFFFFFFF"/>
      <name val="Carlito"/>
    </font>
    <font>
      <i/>
      <sz val="11"/>
      <color rgb="FF0F172A"/>
      <name val="Carlito"/>
    </font>
    <font>
      <b/>
      <sz val="11"/>
      <color rgb="FFFFFFFF"/>
      <name val="Carlito"/>
    </font>
    <font>
      <u/>
      <sz val="11"/>
      <color theme="10"/>
      <name val="Carlito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E0F2FE"/>
      </patternFill>
    </fill>
    <fill>
      <patternFill patternType="solid">
        <fgColor rgb="FF1D4ED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3" fillId="4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 wrapText="1"/>
    </xf>
    <xf numFmtId="164" fontId="0" fillId="0" borderId="0" xfId="0" applyNumberFormat="1"/>
    <xf numFmtId="0" fontId="3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vertical="top" wrapText="1"/>
    </xf>
    <xf numFmtId="0" fontId="1" fillId="2" borderId="0" xfId="0" applyFont="1" applyFill="1" applyAlignment="1">
      <alignment horizontal="center"/>
    </xf>
    <xf numFmtId="0" fontId="0" fillId="0" borderId="0" xfId="0" applyNumberFormat="1" applyAlignment="1">
      <alignment vertical="top" wrapText="1"/>
    </xf>
    <xf numFmtId="0" fontId="3" fillId="4" borderId="0" xfId="0" applyNumberFormat="1" applyFont="1" applyFill="1" applyAlignment="1">
      <alignment horizontal="center" vertical="center" wrapText="1"/>
    </xf>
    <xf numFmtId="0" fontId="0" fillId="0" borderId="0" xfId="0" applyNumberFormat="1"/>
    <xf numFmtId="0" fontId="4" fillId="0" borderId="0" xfId="1" applyAlignment="1">
      <alignment vertical="top" wrapText="1"/>
    </xf>
  </cellXfs>
  <cellStyles count="2">
    <cellStyle name="Hyperlink" xfId="1" builtinId="8"/>
    <cellStyle name="Normal" xfId="0" builtinId="0"/>
  </cellStyles>
  <dxfs count="1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CTable" displayName="FCTable" ref="A4:N29">
  <tableColumns count="14">
    <tableColumn id="1" xr3:uid="{00000000-0010-0000-0000-000001000000}" name="Tier"/>
    <tableColumn id="2" xr3:uid="{00000000-0010-0000-0000-000002000000}" name="Option"/>
    <tableColumn id="3" xr3:uid="{00000000-0010-0000-0000-000003000000}" name="Manufacturer"/>
    <tableColumn id="4" xr3:uid="{00000000-0010-0000-0000-000004000000}" name="Role / use"/>
    <tableColumn id="5" xr3:uid="{00000000-0010-0000-0000-000005000000}" name="Firmware / protocol"/>
    <tableColumn id="6" xr3:uid="{00000000-0010-0000-0000-000006000000}" name="Voltage / input"/>
    <tableColumn id="7" xr3:uid="{00000000-0010-0000-0000-000007000000}" name="Outputs / current / key specs"/>
    <tableColumn id="8" xr3:uid="{00000000-0010-0000-0000-000008000000}" name="12S-system compatibility"/>
    <tableColumn id="9" xr3:uid="{00000000-0010-0000-0000-000009000000}" name="Approx unit price EUR"/>
    <tableColumn id="10" xr3:uid="{00000000-0010-0000-0000-00000A000000}" name="Qty" dataDxfId="8"/>
    <tableColumn id="11" xr3:uid="{00000000-0010-0000-0000-00000B000000}" name="Approx subtotal EUR"/>
    <tableColumn id="12" xr3:uid="{00000000-0010-0000-0000-00000C000000}" name="Advantages"/>
    <tableColumn id="13" xr3:uid="{00000000-0010-0000-0000-00000D000000}" name="Disadvantages / caveats"/>
    <tableColumn id="14" xr3:uid="{00000000-0010-0000-0000-00000E000000}" name="Source URL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ESCTable" displayName="ESCTable" ref="A4:N17">
  <tableColumns count="14">
    <tableColumn id="1" xr3:uid="{00000000-0010-0000-0100-000001000000}" name="Tier"/>
    <tableColumn id="2" xr3:uid="{00000000-0010-0000-0100-000002000000}" name="Option"/>
    <tableColumn id="3" xr3:uid="{00000000-0010-0000-0100-000003000000}" name="Manufacturer"/>
    <tableColumn id="4" xr3:uid="{00000000-0010-0000-0100-000004000000}" name="Role / use"/>
    <tableColumn id="5" xr3:uid="{00000000-0010-0000-0100-000005000000}" name="Firmware / protocol"/>
    <tableColumn id="6" xr3:uid="{00000000-0010-0000-0100-000006000000}" name="Voltage / input"/>
    <tableColumn id="7" xr3:uid="{00000000-0010-0000-0100-000007000000}" name="Outputs / current / key specs"/>
    <tableColumn id="8" xr3:uid="{00000000-0010-0000-0100-000008000000}" name="12S-system compatibility"/>
    <tableColumn id="9" xr3:uid="{00000000-0010-0000-0100-000009000000}" name="Approx unit price EUR"/>
    <tableColumn id="10" xr3:uid="{00000000-0010-0000-0100-00000A000000}" name="Qty" dataDxfId="9"/>
    <tableColumn id="11" xr3:uid="{00000000-0010-0000-0100-00000B000000}" name="Approx subtotal EUR"/>
    <tableColumn id="12" xr3:uid="{00000000-0010-0000-0100-00000C000000}" name="Advantages"/>
    <tableColumn id="13" xr3:uid="{00000000-0010-0000-0100-00000D000000}" name="Disadvantages / caveats"/>
    <tableColumn id="14" xr3:uid="{00000000-0010-0000-0100-00000E000000}" name="Source URL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ower_PDBTable" displayName="Power_PDBTable" ref="A4:N12">
  <tableColumns count="14">
    <tableColumn id="1" xr3:uid="{00000000-0010-0000-0200-000001000000}" name="Tier"/>
    <tableColumn id="2" xr3:uid="{00000000-0010-0000-0200-000002000000}" name="Option"/>
    <tableColumn id="3" xr3:uid="{00000000-0010-0000-0200-000003000000}" name="Manufacturer"/>
    <tableColumn id="4" xr3:uid="{00000000-0010-0000-0200-000004000000}" name="Role / use"/>
    <tableColumn id="5" xr3:uid="{00000000-0010-0000-0200-000005000000}" name="Firmware / protocol"/>
    <tableColumn id="6" xr3:uid="{00000000-0010-0000-0200-000006000000}" name="Voltage / input"/>
    <tableColumn id="7" xr3:uid="{00000000-0010-0000-0200-000007000000}" name="Outputs / current / key specs"/>
    <tableColumn id="8" xr3:uid="{00000000-0010-0000-0200-000008000000}" name="12S-system compatibility"/>
    <tableColumn id="9" xr3:uid="{00000000-0010-0000-0200-000009000000}" name="Approx unit price EUR"/>
    <tableColumn id="10" xr3:uid="{00000000-0010-0000-0200-00000A000000}" name="Qty" dataDxfId="5"/>
    <tableColumn id="11" xr3:uid="{00000000-0010-0000-0200-00000B000000}" name="Approx subtotal EUR"/>
    <tableColumn id="12" xr3:uid="{00000000-0010-0000-0200-00000C000000}" name="Advantages"/>
    <tableColumn id="13" xr3:uid="{00000000-0010-0000-0200-00000D000000}" name="Disadvantages / caveats"/>
    <tableColumn id="14" xr3:uid="{00000000-0010-0000-0200-00000E000000}" name="Sourc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BEC_ServoPowerTable" displayName="BEC_ServoPowerTable" ref="A4:N11">
  <tableColumns count="14">
    <tableColumn id="1" xr3:uid="{00000000-0010-0000-0300-000001000000}" name="Tier"/>
    <tableColumn id="2" xr3:uid="{00000000-0010-0000-0300-000002000000}" name="Option"/>
    <tableColumn id="3" xr3:uid="{00000000-0010-0000-0300-000003000000}" name="Manufacturer"/>
    <tableColumn id="4" xr3:uid="{00000000-0010-0000-0300-000004000000}" name="Role / use"/>
    <tableColumn id="5" xr3:uid="{00000000-0010-0000-0300-000005000000}" name="Firmware / protocol"/>
    <tableColumn id="6" xr3:uid="{00000000-0010-0000-0300-000006000000}" name="Voltage / input"/>
    <tableColumn id="7" xr3:uid="{00000000-0010-0000-0300-000007000000}" name="Outputs / current / key specs"/>
    <tableColumn id="8" xr3:uid="{00000000-0010-0000-0300-000008000000}" name="12S-system compatibility"/>
    <tableColumn id="9" xr3:uid="{00000000-0010-0000-0300-000009000000}" name="Approx unit price EUR"/>
    <tableColumn id="10" xr3:uid="{00000000-0010-0000-0300-00000A000000}" name="Qty" dataDxfId="4"/>
    <tableColumn id="11" xr3:uid="{00000000-0010-0000-0300-00000B000000}" name="Approx subtotal EUR"/>
    <tableColumn id="12" xr3:uid="{00000000-0010-0000-0300-00000C000000}" name="Advantages"/>
    <tableColumn id="13" xr3:uid="{00000000-0010-0000-0300-00000D000000}" name="Disadvantages / caveats"/>
    <tableColumn id="14" xr3:uid="{00000000-0010-0000-0300-00000E000000}" name="Source UR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PS_CompassTable" displayName="GPS_CompassTable" ref="A4:N11">
  <tableColumns count="14">
    <tableColumn id="1" xr3:uid="{00000000-0010-0000-0400-000001000000}" name="Tier"/>
    <tableColumn id="2" xr3:uid="{00000000-0010-0000-0400-000002000000}" name="Option"/>
    <tableColumn id="3" xr3:uid="{00000000-0010-0000-0400-000003000000}" name="Manufacturer"/>
    <tableColumn id="4" xr3:uid="{00000000-0010-0000-0400-000004000000}" name="Role / use"/>
    <tableColumn id="5" xr3:uid="{00000000-0010-0000-0400-000005000000}" name="Firmware / protocol"/>
    <tableColumn id="6" xr3:uid="{00000000-0010-0000-0400-000006000000}" name="Voltage / input"/>
    <tableColumn id="7" xr3:uid="{00000000-0010-0000-0400-000007000000}" name="Outputs / current / key specs"/>
    <tableColumn id="8" xr3:uid="{00000000-0010-0000-0400-000008000000}" name="12S-system compatibility"/>
    <tableColumn id="9" xr3:uid="{00000000-0010-0000-0400-000009000000}" name="Approx unit price EUR"/>
    <tableColumn id="10" xr3:uid="{00000000-0010-0000-0400-00000A000000}" name="Qty" dataDxfId="3"/>
    <tableColumn id="11" xr3:uid="{00000000-0010-0000-0400-00000B000000}" name="Approx subtotal EUR"/>
    <tableColumn id="12" xr3:uid="{00000000-0010-0000-0400-00000C000000}" name="Advantages"/>
    <tableColumn id="13" xr3:uid="{00000000-0010-0000-0400-00000D000000}" name="Disadvantages / caveats"/>
    <tableColumn id="14" xr3:uid="{00000000-0010-0000-0400-00000E000000}" name="Source UR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ReceiversTable" displayName="ReceiversTable" ref="A4:N10">
  <tableColumns count="14">
    <tableColumn id="1" xr3:uid="{00000000-0010-0000-0500-000001000000}" name="Tier"/>
    <tableColumn id="2" xr3:uid="{00000000-0010-0000-0500-000002000000}" name="Option"/>
    <tableColumn id="3" xr3:uid="{00000000-0010-0000-0500-000003000000}" name="Manufacturer"/>
    <tableColumn id="4" xr3:uid="{00000000-0010-0000-0500-000004000000}" name="Role / use"/>
    <tableColumn id="5" xr3:uid="{00000000-0010-0000-0500-000005000000}" name="Firmware / protocol"/>
    <tableColumn id="6" xr3:uid="{00000000-0010-0000-0500-000006000000}" name="Voltage / input"/>
    <tableColumn id="7" xr3:uid="{00000000-0010-0000-0500-000007000000}" name="Outputs / current / key specs"/>
    <tableColumn id="8" xr3:uid="{00000000-0010-0000-0500-000008000000}" name="12S-system compatibility"/>
    <tableColumn id="9" xr3:uid="{00000000-0010-0000-0500-000009000000}" name="Approx unit price EUR"/>
    <tableColumn id="10" xr3:uid="{00000000-0010-0000-0500-00000A000000}" name="Qty" dataDxfId="2"/>
    <tableColumn id="11" xr3:uid="{00000000-0010-0000-0500-00000B000000}" name="Approx subtotal EUR"/>
    <tableColumn id="12" xr3:uid="{00000000-0010-0000-0500-00000C000000}" name="Advantages"/>
    <tableColumn id="13" xr3:uid="{00000000-0010-0000-0500-00000D000000}" name="Disadvantages / caveats"/>
    <tableColumn id="14" xr3:uid="{00000000-0010-0000-0500-00000E000000}" name="Source URL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elemetryTable" displayName="TelemetryTable" ref="A4:N10">
  <tableColumns count="14">
    <tableColumn id="1" xr3:uid="{00000000-0010-0000-0600-000001000000}" name="Tier"/>
    <tableColumn id="2" xr3:uid="{00000000-0010-0000-0600-000002000000}" name="Option"/>
    <tableColumn id="3" xr3:uid="{00000000-0010-0000-0600-000003000000}" name="Manufacturer"/>
    <tableColumn id="4" xr3:uid="{00000000-0010-0000-0600-000004000000}" name="Role / use"/>
    <tableColumn id="5" xr3:uid="{00000000-0010-0000-0600-000005000000}" name="Firmware / protocol"/>
    <tableColumn id="6" xr3:uid="{00000000-0010-0000-0600-000006000000}" name="Voltage / input"/>
    <tableColumn id="7" xr3:uid="{00000000-0010-0000-0600-000007000000}" name="Outputs / current / key specs"/>
    <tableColumn id="8" xr3:uid="{00000000-0010-0000-0600-000008000000}" name="12S-system compatibility"/>
    <tableColumn id="9" xr3:uid="{00000000-0010-0000-0600-000009000000}" name="Approx unit price EUR"/>
    <tableColumn id="10" xr3:uid="{00000000-0010-0000-0600-00000A000000}" name="Qty" dataDxfId="1"/>
    <tableColumn id="11" xr3:uid="{00000000-0010-0000-0600-00000B000000}" name="Approx subtotal EUR"/>
    <tableColumn id="12" xr3:uid="{00000000-0010-0000-0600-00000C000000}" name="Advantages"/>
    <tableColumn id="13" xr3:uid="{00000000-0010-0000-0600-00000D000000}" name="Disadvantages / caveats"/>
    <tableColumn id="14" xr3:uid="{00000000-0010-0000-0600-00000E000000}" name="Source URL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AirspeedTable" displayName="AirspeedTable" ref="A4:N9">
  <tableColumns count="14">
    <tableColumn id="1" xr3:uid="{00000000-0010-0000-0700-000001000000}" name="Tier"/>
    <tableColumn id="2" xr3:uid="{00000000-0010-0000-0700-000002000000}" name="Option"/>
    <tableColumn id="3" xr3:uid="{00000000-0010-0000-0700-000003000000}" name="Manufacturer"/>
    <tableColumn id="4" xr3:uid="{00000000-0010-0000-0700-000004000000}" name="Role / use"/>
    <tableColumn id="5" xr3:uid="{00000000-0010-0000-0700-000005000000}" name="Firmware / protocol"/>
    <tableColumn id="6" xr3:uid="{00000000-0010-0000-0700-000006000000}" name="Voltage / input"/>
    <tableColumn id="7" xr3:uid="{00000000-0010-0000-0700-000007000000}" name="Outputs / current / key specs"/>
    <tableColumn id="8" xr3:uid="{00000000-0010-0000-0700-000008000000}" name="12S-system compatibility"/>
    <tableColumn id="9" xr3:uid="{00000000-0010-0000-0700-000009000000}" name="Approx unit price EUR"/>
    <tableColumn id="10" xr3:uid="{00000000-0010-0000-0700-00000A000000}" name="Qty" dataDxfId="0"/>
    <tableColumn id="11" xr3:uid="{00000000-0010-0000-0700-00000B000000}" name="Approx subtotal EUR"/>
    <tableColumn id="12" xr3:uid="{00000000-0010-0000-0700-00000C000000}" name="Advantages"/>
    <tableColumn id="13" xr3:uid="{00000000-0010-0000-0700-00000D000000}" name="Disadvantages / caveats"/>
    <tableColumn id="14" xr3:uid="{00000000-0010-0000-0700-00000E000000}" name="Source URL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ServosTable" displayName="ServosTable" ref="A4:N14">
  <tableColumns count="14">
    <tableColumn id="1" xr3:uid="{00000000-0010-0000-0800-000001000000}" name="Tier"/>
    <tableColumn id="2" xr3:uid="{00000000-0010-0000-0800-000002000000}" name="Option"/>
    <tableColumn id="3" xr3:uid="{00000000-0010-0000-0800-000003000000}" name="Manufacturer"/>
    <tableColumn id="4" xr3:uid="{00000000-0010-0000-0800-000004000000}" name="Role / use"/>
    <tableColumn id="5" xr3:uid="{00000000-0010-0000-0800-000005000000}" name="Firmware / protocol"/>
    <tableColumn id="6" xr3:uid="{00000000-0010-0000-0800-000006000000}" name="Voltage / input"/>
    <tableColumn id="7" xr3:uid="{00000000-0010-0000-0800-000007000000}" name="Outputs / current / key specs"/>
    <tableColumn id="8" xr3:uid="{00000000-0010-0000-0800-000008000000}" name="12S-system compatibility"/>
    <tableColumn id="9" xr3:uid="{00000000-0010-0000-0800-000009000000}" name="Approx unit price EUR"/>
    <tableColumn id="10" xr3:uid="{00000000-0010-0000-0800-00000A000000}" name="Qty" dataDxfId="7"/>
    <tableColumn id="11" xr3:uid="{00000000-0010-0000-0800-00000B000000}" name="Approx subtotal EUR"/>
    <tableColumn id="12" xr3:uid="{00000000-0010-0000-0800-00000C000000}" name="Advantages"/>
    <tableColumn id="13" xr3:uid="{00000000-0010-0000-0800-00000D000000}" name="Disadvantages / caveats"/>
    <tableColumn id="14" xr3:uid="{00000000-0010-0000-0800-00000E000000}" name="Source URL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Battery_Motor_MiscTable" displayName="Battery_Motor_MiscTable" ref="A4:N10">
  <tableColumns count="14">
    <tableColumn id="1" xr3:uid="{00000000-0010-0000-0900-000001000000}" name="Tier"/>
    <tableColumn id="2" xr3:uid="{00000000-0010-0000-0900-000002000000}" name="Option"/>
    <tableColumn id="3" xr3:uid="{00000000-0010-0000-0900-000003000000}" name="Manufacturer"/>
    <tableColumn id="4" xr3:uid="{00000000-0010-0000-0900-000004000000}" name="Role / use"/>
    <tableColumn id="5" xr3:uid="{00000000-0010-0000-0900-000005000000}" name="Firmware / protocol"/>
    <tableColumn id="6" xr3:uid="{00000000-0010-0000-0900-000006000000}" name="Voltage / input"/>
    <tableColumn id="7" xr3:uid="{00000000-0010-0000-0900-000007000000}" name="Outputs / current / key specs"/>
    <tableColumn id="8" xr3:uid="{00000000-0010-0000-0900-000008000000}" name="12S-system compatibility"/>
    <tableColumn id="9" xr3:uid="{00000000-0010-0000-0900-000009000000}" name="Approx unit price EUR"/>
    <tableColumn id="10" xr3:uid="{00000000-0010-0000-0900-00000A000000}" name="Qty" dataDxfId="6"/>
    <tableColumn id="11" xr3:uid="{00000000-0010-0000-0900-00000B000000}" name="Approx subtotal EUR"/>
    <tableColumn id="12" xr3:uid="{00000000-0010-0000-0900-00000C000000}" name="Advantages"/>
    <tableColumn id="13" xr3:uid="{00000000-0010-0000-0900-00000D000000}" name="Disadvantages / caveats"/>
    <tableColumn id="14" xr3:uid="{00000000-0010-0000-0900-00000E000000}" name="Source 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rotorama.com/product/tbs-lucid-h7-wing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drone-fpv-racer.com/en/x-cross-hv3-pro-80a-5-12s-by-flycolor-12950.html" TargetMode="External"/><Relationship Id="rId2" Type="http://schemas.openxmlformats.org/officeDocument/2006/relationships/hyperlink" Target="https://powerdrives.net/200f3" TargetMode="External"/><Relationship Id="rId1" Type="http://schemas.openxmlformats.org/officeDocument/2006/relationships/hyperlink" Target="https://store.tmotor.com/product/alpha-120a-12s-esc.html" TargetMode="External"/><Relationship Id="rId5" Type="http://schemas.openxmlformats.org/officeDocument/2006/relationships/table" Target="../tables/table2.xml"/><Relationship Id="rId4" Type="http://schemas.openxmlformats.org/officeDocument/2006/relationships/hyperlink" Target="https://www.hobbywing.com/en/products/-xrotorh80a14sbldc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hyperlink" Target="https://www.mateksys.com/?portfolio=fchub-12s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hyperlink" Target="https://www.mateksys.com/?portfolio=m10q-5883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00"/>
  <sheetViews>
    <sheetView topLeftCell="E10" workbookViewId="0">
      <selection activeCell="N14" sqref="N14"/>
    </sheetView>
  </sheetViews>
  <sheetFormatPr defaultRowHeight="14.25"/>
  <cols>
    <col min="1" max="1" width="14" customWidth="1"/>
    <col min="2" max="2" width="26" customWidth="1"/>
    <col min="3" max="3" width="16" customWidth="1"/>
    <col min="4" max="4" width="20" customWidth="1"/>
    <col min="5" max="5" width="24" customWidth="1"/>
    <col min="6" max="6" width="20" customWidth="1"/>
    <col min="7" max="7" width="38" customWidth="1"/>
    <col min="8" max="8" width="32" customWidth="1"/>
    <col min="9" max="9" width="14" customWidth="1"/>
    <col min="10" max="10" width="8" style="12" customWidth="1"/>
    <col min="11" max="11" width="14" customWidth="1"/>
    <col min="12" max="12" width="38" customWidth="1"/>
    <col min="13" max="13" width="42" customWidth="1"/>
    <col min="14" max="14" width="55" customWidth="1"/>
  </cols>
  <sheetData>
    <row r="1" spans="1:14" ht="18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42.75">
      <c r="A5" s="3" t="s">
        <v>16</v>
      </c>
      <c r="B5" s="3" t="s">
        <v>17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22</v>
      </c>
      <c r="H5" s="3" t="s">
        <v>23</v>
      </c>
      <c r="I5" s="4">
        <v>50</v>
      </c>
      <c r="J5" s="10">
        <v>1</v>
      </c>
      <c r="K5" s="4">
        <f t="shared" ref="K5:K30" si="0">IF(ISNUMBER(I5),I5*J5,"")</f>
        <v>50</v>
      </c>
      <c r="L5" s="3" t="s">
        <v>24</v>
      </c>
      <c r="M5" s="3" t="s">
        <v>25</v>
      </c>
      <c r="N5" s="3" t="s">
        <v>26</v>
      </c>
    </row>
    <row r="6" spans="1:14" ht="28.5">
      <c r="A6" s="3" t="s">
        <v>16</v>
      </c>
      <c r="B6" s="3" t="s">
        <v>27</v>
      </c>
      <c r="C6" s="3" t="s">
        <v>18</v>
      </c>
      <c r="D6" s="3" t="s">
        <v>28</v>
      </c>
      <c r="E6" s="3" t="s">
        <v>20</v>
      </c>
      <c r="F6" s="3" t="s">
        <v>29</v>
      </c>
      <c r="G6" s="3" t="s">
        <v>30</v>
      </c>
      <c r="H6" s="3" t="s">
        <v>31</v>
      </c>
      <c r="I6" s="4">
        <v>46</v>
      </c>
      <c r="J6" s="10">
        <v>1</v>
      </c>
      <c r="K6" s="4">
        <f t="shared" si="0"/>
        <v>46</v>
      </c>
      <c r="L6" s="3" t="s">
        <v>32</v>
      </c>
      <c r="M6" s="3" t="s">
        <v>33</v>
      </c>
      <c r="N6" s="3" t="s">
        <v>34</v>
      </c>
    </row>
    <row r="7" spans="1:14" ht="28.5">
      <c r="A7" s="3" t="s">
        <v>16</v>
      </c>
      <c r="B7" s="3" t="s">
        <v>35</v>
      </c>
      <c r="C7" s="3" t="s">
        <v>36</v>
      </c>
      <c r="D7" s="3" t="s">
        <v>37</v>
      </c>
      <c r="E7" s="3" t="s">
        <v>20</v>
      </c>
      <c r="F7" s="3" t="s">
        <v>38</v>
      </c>
      <c r="G7" s="3" t="s">
        <v>39</v>
      </c>
      <c r="H7" s="3" t="s">
        <v>40</v>
      </c>
      <c r="I7" s="4">
        <v>60</v>
      </c>
      <c r="J7" s="10">
        <v>1</v>
      </c>
      <c r="K7" s="4">
        <f t="shared" si="0"/>
        <v>60</v>
      </c>
      <c r="L7" s="3" t="s">
        <v>41</v>
      </c>
      <c r="M7" s="3" t="s">
        <v>42</v>
      </c>
      <c r="N7" s="3" t="s">
        <v>43</v>
      </c>
    </row>
    <row r="8" spans="1:14" ht="28.5">
      <c r="A8" s="3" t="s">
        <v>16</v>
      </c>
      <c r="B8" s="3" t="s">
        <v>44</v>
      </c>
      <c r="C8" s="3" t="s">
        <v>36</v>
      </c>
      <c r="D8" s="3" t="s">
        <v>45</v>
      </c>
      <c r="E8" s="3" t="s">
        <v>46</v>
      </c>
      <c r="F8" s="3" t="s">
        <v>47</v>
      </c>
      <c r="G8" s="3" t="s">
        <v>48</v>
      </c>
      <c r="H8" s="3" t="s">
        <v>49</v>
      </c>
      <c r="I8" s="4">
        <v>50</v>
      </c>
      <c r="J8" s="10">
        <v>1</v>
      </c>
      <c r="K8" s="4">
        <f t="shared" si="0"/>
        <v>50</v>
      </c>
      <c r="L8" s="3" t="s">
        <v>50</v>
      </c>
      <c r="M8" s="3" t="s">
        <v>51</v>
      </c>
      <c r="N8" s="3" t="s">
        <v>52</v>
      </c>
    </row>
    <row r="9" spans="1:14" ht="28.5">
      <c r="A9" s="3" t="s">
        <v>16</v>
      </c>
      <c r="B9" s="3" t="s">
        <v>53</v>
      </c>
      <c r="C9" s="3" t="s">
        <v>54</v>
      </c>
      <c r="D9" s="3" t="s">
        <v>55</v>
      </c>
      <c r="E9" s="3" t="s">
        <v>20</v>
      </c>
      <c r="F9" s="3" t="s">
        <v>56</v>
      </c>
      <c r="G9" s="3" t="s">
        <v>57</v>
      </c>
      <c r="H9" s="3" t="s">
        <v>58</v>
      </c>
      <c r="I9" s="4">
        <v>50</v>
      </c>
      <c r="J9" s="10">
        <v>1</v>
      </c>
      <c r="K9" s="4">
        <f t="shared" si="0"/>
        <v>50</v>
      </c>
      <c r="L9" s="3" t="s">
        <v>59</v>
      </c>
      <c r="M9" s="3" t="s">
        <v>60</v>
      </c>
      <c r="N9" s="3" t="s">
        <v>61</v>
      </c>
    </row>
    <row r="10" spans="1:14" ht="28.5">
      <c r="A10" s="3" t="s">
        <v>16</v>
      </c>
      <c r="B10" s="3" t="s">
        <v>62</v>
      </c>
      <c r="C10" s="3" t="s">
        <v>63</v>
      </c>
      <c r="D10" s="3" t="s">
        <v>28</v>
      </c>
      <c r="E10" s="3" t="s">
        <v>46</v>
      </c>
      <c r="F10" s="3" t="s">
        <v>64</v>
      </c>
      <c r="G10" s="3" t="s">
        <v>65</v>
      </c>
      <c r="H10" s="3" t="s">
        <v>66</v>
      </c>
      <c r="I10" s="4">
        <v>55</v>
      </c>
      <c r="J10" s="10">
        <v>1</v>
      </c>
      <c r="K10" s="4">
        <f t="shared" si="0"/>
        <v>55</v>
      </c>
      <c r="L10" s="3" t="s">
        <v>67</v>
      </c>
      <c r="M10" s="3" t="s">
        <v>68</v>
      </c>
      <c r="N10" s="3" t="s">
        <v>69</v>
      </c>
    </row>
    <row r="11" spans="1:14" ht="28.5">
      <c r="A11" s="3" t="s">
        <v>16</v>
      </c>
      <c r="B11" s="3" t="s">
        <v>70</v>
      </c>
      <c r="C11" s="3" t="s">
        <v>71</v>
      </c>
      <c r="D11" s="3" t="s">
        <v>72</v>
      </c>
      <c r="E11" s="3" t="s">
        <v>73</v>
      </c>
      <c r="F11" s="3" t="s">
        <v>74</v>
      </c>
      <c r="G11" s="3" t="s">
        <v>75</v>
      </c>
      <c r="H11" s="3" t="s">
        <v>76</v>
      </c>
      <c r="I11" s="4">
        <v>55</v>
      </c>
      <c r="J11" s="10">
        <v>1</v>
      </c>
      <c r="K11" s="4">
        <f t="shared" si="0"/>
        <v>55</v>
      </c>
      <c r="L11" s="3" t="s">
        <v>77</v>
      </c>
      <c r="M11" s="3" t="s">
        <v>78</v>
      </c>
      <c r="N11" s="3" t="s">
        <v>79</v>
      </c>
    </row>
    <row r="12" spans="1:14" ht="28.5">
      <c r="A12" s="3" t="s">
        <v>16</v>
      </c>
      <c r="B12" s="3" t="s">
        <v>80</v>
      </c>
      <c r="C12" s="3" t="s">
        <v>81</v>
      </c>
      <c r="D12" s="3" t="s">
        <v>82</v>
      </c>
      <c r="E12" s="3" t="s">
        <v>46</v>
      </c>
      <c r="F12" s="3" t="s">
        <v>83</v>
      </c>
      <c r="G12" s="3" t="s">
        <v>84</v>
      </c>
      <c r="H12" s="3" t="s">
        <v>85</v>
      </c>
      <c r="I12" s="4">
        <v>65</v>
      </c>
      <c r="J12" s="10">
        <v>1</v>
      </c>
      <c r="K12" s="4">
        <f t="shared" si="0"/>
        <v>65</v>
      </c>
      <c r="L12" s="3" t="s">
        <v>86</v>
      </c>
      <c r="M12" s="3" t="s">
        <v>87</v>
      </c>
      <c r="N12" s="3" t="s">
        <v>88</v>
      </c>
    </row>
    <row r="13" spans="1:14" ht="28.5">
      <c r="A13" s="3" t="s">
        <v>89</v>
      </c>
      <c r="B13" s="3" t="s">
        <v>90</v>
      </c>
      <c r="C13" s="3" t="s">
        <v>36</v>
      </c>
      <c r="D13" s="3" t="s">
        <v>91</v>
      </c>
      <c r="E13" s="3" t="s">
        <v>92</v>
      </c>
      <c r="F13" s="3" t="s">
        <v>93</v>
      </c>
      <c r="G13" s="3" t="s">
        <v>94</v>
      </c>
      <c r="H13" s="3" t="s">
        <v>95</v>
      </c>
      <c r="I13" s="4">
        <v>69</v>
      </c>
      <c r="J13" s="10">
        <v>1</v>
      </c>
      <c r="K13" s="4">
        <f t="shared" si="0"/>
        <v>69</v>
      </c>
      <c r="L13" s="3" t="s">
        <v>96</v>
      </c>
      <c r="M13" s="3" t="s">
        <v>97</v>
      </c>
      <c r="N13" s="3" t="s">
        <v>98</v>
      </c>
    </row>
    <row r="14" spans="1:14" ht="28.5">
      <c r="A14" s="3" t="s">
        <v>89</v>
      </c>
      <c r="B14" s="3" t="s">
        <v>99</v>
      </c>
      <c r="C14" s="3" t="s">
        <v>100</v>
      </c>
      <c r="D14" s="3" t="s">
        <v>19</v>
      </c>
      <c r="E14" s="3" t="s">
        <v>101</v>
      </c>
      <c r="F14" s="3" t="s">
        <v>102</v>
      </c>
      <c r="G14" s="3" t="s">
        <v>103</v>
      </c>
      <c r="H14" s="3" t="s">
        <v>104</v>
      </c>
      <c r="I14" s="4">
        <v>80</v>
      </c>
      <c r="J14" s="10">
        <v>1</v>
      </c>
      <c r="K14" s="4">
        <f t="shared" si="0"/>
        <v>80</v>
      </c>
      <c r="L14" s="3" t="s">
        <v>105</v>
      </c>
      <c r="M14" s="3" t="s">
        <v>106</v>
      </c>
      <c r="N14" s="13" t="s">
        <v>107</v>
      </c>
    </row>
    <row r="15" spans="1:14" ht="28.5">
      <c r="A15" s="3" t="s">
        <v>89</v>
      </c>
      <c r="B15" s="3" t="s">
        <v>108</v>
      </c>
      <c r="C15" s="3" t="s">
        <v>109</v>
      </c>
      <c r="D15" s="3" t="s">
        <v>19</v>
      </c>
      <c r="E15" s="3" t="s">
        <v>46</v>
      </c>
      <c r="F15" s="3" t="s">
        <v>64</v>
      </c>
      <c r="G15" s="3" t="s">
        <v>110</v>
      </c>
      <c r="H15" s="3" t="s">
        <v>95</v>
      </c>
      <c r="I15" s="4">
        <v>89</v>
      </c>
      <c r="J15" s="10">
        <v>1</v>
      </c>
      <c r="K15" s="4">
        <f t="shared" si="0"/>
        <v>89</v>
      </c>
      <c r="L15" s="3" t="s">
        <v>111</v>
      </c>
      <c r="M15" s="3" t="s">
        <v>112</v>
      </c>
      <c r="N15" s="3" t="s">
        <v>113</v>
      </c>
    </row>
    <row r="16" spans="1:14" ht="42.75">
      <c r="A16" s="3" t="s">
        <v>89</v>
      </c>
      <c r="B16" s="3" t="s">
        <v>114</v>
      </c>
      <c r="C16" s="3" t="s">
        <v>36</v>
      </c>
      <c r="D16" s="3" t="s">
        <v>91</v>
      </c>
      <c r="E16" s="3" t="s">
        <v>46</v>
      </c>
      <c r="F16" s="3" t="s">
        <v>115</v>
      </c>
      <c r="G16" s="3" t="s">
        <v>116</v>
      </c>
      <c r="H16" s="3" t="s">
        <v>117</v>
      </c>
      <c r="I16" s="4">
        <v>95</v>
      </c>
      <c r="J16" s="10">
        <v>1</v>
      </c>
      <c r="K16" s="4">
        <f t="shared" si="0"/>
        <v>95</v>
      </c>
      <c r="L16" s="3" t="s">
        <v>118</v>
      </c>
      <c r="M16" s="3" t="s">
        <v>119</v>
      </c>
      <c r="N16" s="3" t="s">
        <v>120</v>
      </c>
    </row>
    <row r="17" spans="1:14" ht="28.5">
      <c r="A17" s="3" t="s">
        <v>89</v>
      </c>
      <c r="B17" s="3" t="s">
        <v>121</v>
      </c>
      <c r="C17" s="3" t="s">
        <v>36</v>
      </c>
      <c r="D17" s="3" t="s">
        <v>91</v>
      </c>
      <c r="E17" s="3" t="s">
        <v>46</v>
      </c>
      <c r="F17" s="3" t="s">
        <v>122</v>
      </c>
      <c r="G17" s="3" t="s">
        <v>123</v>
      </c>
      <c r="H17" s="3" t="s">
        <v>124</v>
      </c>
      <c r="I17" s="4">
        <v>80</v>
      </c>
      <c r="J17" s="10">
        <v>1</v>
      </c>
      <c r="K17" s="4">
        <f t="shared" si="0"/>
        <v>80</v>
      </c>
      <c r="L17" s="3" t="s">
        <v>125</v>
      </c>
      <c r="M17" s="3" t="s">
        <v>126</v>
      </c>
      <c r="N17" s="3" t="s">
        <v>127</v>
      </c>
    </row>
    <row r="18" spans="1:14" ht="28.5">
      <c r="A18" s="3" t="s">
        <v>89</v>
      </c>
      <c r="B18" s="3" t="s">
        <v>128</v>
      </c>
      <c r="C18" s="3" t="s">
        <v>129</v>
      </c>
      <c r="D18" s="3" t="s">
        <v>130</v>
      </c>
      <c r="E18" s="3" t="s">
        <v>92</v>
      </c>
      <c r="F18" s="3" t="s">
        <v>131</v>
      </c>
      <c r="G18" s="3" t="s">
        <v>132</v>
      </c>
      <c r="H18" s="3" t="s">
        <v>133</v>
      </c>
      <c r="I18" s="4">
        <v>95</v>
      </c>
      <c r="J18" s="10">
        <v>1</v>
      </c>
      <c r="K18" s="4">
        <f t="shared" si="0"/>
        <v>95</v>
      </c>
      <c r="L18" s="3" t="s">
        <v>134</v>
      </c>
      <c r="M18" s="3" t="s">
        <v>135</v>
      </c>
      <c r="N18" s="3" t="s">
        <v>136</v>
      </c>
    </row>
    <row r="19" spans="1:14" ht="42.75">
      <c r="A19" s="3" t="s">
        <v>89</v>
      </c>
      <c r="B19" s="3" t="s">
        <v>137</v>
      </c>
      <c r="C19" s="3" t="s">
        <v>63</v>
      </c>
      <c r="D19" s="3" t="s">
        <v>19</v>
      </c>
      <c r="E19" s="3" t="s">
        <v>20</v>
      </c>
      <c r="F19" s="3" t="s">
        <v>138</v>
      </c>
      <c r="G19" s="3" t="s">
        <v>139</v>
      </c>
      <c r="H19" s="3" t="s">
        <v>140</v>
      </c>
      <c r="I19" s="4">
        <v>100</v>
      </c>
      <c r="J19" s="10">
        <v>1</v>
      </c>
      <c r="K19" s="4">
        <f t="shared" si="0"/>
        <v>100</v>
      </c>
      <c r="L19" s="3" t="s">
        <v>141</v>
      </c>
      <c r="M19" s="3" t="s">
        <v>142</v>
      </c>
      <c r="N19" s="3" t="s">
        <v>143</v>
      </c>
    </row>
    <row r="20" spans="1:14" ht="28.5">
      <c r="A20" s="3" t="s">
        <v>144</v>
      </c>
      <c r="B20" s="3" t="s">
        <v>145</v>
      </c>
      <c r="C20" s="3" t="s">
        <v>36</v>
      </c>
      <c r="D20" s="3" t="s">
        <v>19</v>
      </c>
      <c r="E20" s="3" t="s">
        <v>92</v>
      </c>
      <c r="F20" s="3" t="s">
        <v>146</v>
      </c>
      <c r="G20" s="3" t="s">
        <v>147</v>
      </c>
      <c r="H20" s="3" t="s">
        <v>148</v>
      </c>
      <c r="I20" s="4">
        <v>130</v>
      </c>
      <c r="J20" s="10">
        <v>1</v>
      </c>
      <c r="K20" s="4">
        <f t="shared" si="0"/>
        <v>130</v>
      </c>
      <c r="L20" s="3" t="s">
        <v>149</v>
      </c>
      <c r="M20" s="3" t="s">
        <v>150</v>
      </c>
      <c r="N20" s="3" t="s">
        <v>151</v>
      </c>
    </row>
    <row r="21" spans="1:14" ht="28.5">
      <c r="A21" s="3" t="s">
        <v>144</v>
      </c>
      <c r="B21" s="3" t="s">
        <v>152</v>
      </c>
      <c r="C21" s="3" t="s">
        <v>63</v>
      </c>
      <c r="D21" s="3" t="s">
        <v>153</v>
      </c>
      <c r="E21" s="3" t="s">
        <v>154</v>
      </c>
      <c r="F21" s="3" t="s">
        <v>155</v>
      </c>
      <c r="G21" s="3" t="s">
        <v>156</v>
      </c>
      <c r="H21" s="3" t="s">
        <v>157</v>
      </c>
      <c r="I21" s="4">
        <v>160</v>
      </c>
      <c r="J21" s="10">
        <v>1</v>
      </c>
      <c r="K21" s="4">
        <f t="shared" si="0"/>
        <v>160</v>
      </c>
      <c r="L21" s="3" t="s">
        <v>158</v>
      </c>
      <c r="M21" s="3" t="s">
        <v>159</v>
      </c>
      <c r="N21" s="3" t="s">
        <v>160</v>
      </c>
    </row>
    <row r="22" spans="1:14" ht="28.5">
      <c r="A22" s="3" t="s">
        <v>161</v>
      </c>
      <c r="B22" s="3" t="s">
        <v>162</v>
      </c>
      <c r="C22" s="3" t="s">
        <v>63</v>
      </c>
      <c r="D22" s="3" t="s">
        <v>163</v>
      </c>
      <c r="E22" s="3" t="s">
        <v>154</v>
      </c>
      <c r="F22" s="3" t="s">
        <v>155</v>
      </c>
      <c r="G22" s="3" t="s">
        <v>164</v>
      </c>
      <c r="H22" s="3" t="s">
        <v>165</v>
      </c>
      <c r="I22" s="4">
        <v>485</v>
      </c>
      <c r="J22" s="10">
        <v>1</v>
      </c>
      <c r="K22" s="4">
        <f t="shared" si="0"/>
        <v>485</v>
      </c>
      <c r="L22" s="3" t="s">
        <v>166</v>
      </c>
      <c r="M22" s="3" t="s">
        <v>167</v>
      </c>
      <c r="N22" s="3" t="s">
        <v>168</v>
      </c>
    </row>
    <row r="23" spans="1:14" ht="28.5">
      <c r="A23" s="3" t="s">
        <v>161</v>
      </c>
      <c r="B23" s="3" t="s">
        <v>169</v>
      </c>
      <c r="C23" s="3" t="s">
        <v>170</v>
      </c>
      <c r="D23" s="3" t="s">
        <v>171</v>
      </c>
      <c r="E23" s="3" t="s">
        <v>154</v>
      </c>
      <c r="F23" s="3" t="s">
        <v>172</v>
      </c>
      <c r="G23" s="3" t="s">
        <v>173</v>
      </c>
      <c r="H23" s="3" t="s">
        <v>174</v>
      </c>
      <c r="I23" s="4">
        <v>500</v>
      </c>
      <c r="J23" s="10">
        <v>1</v>
      </c>
      <c r="K23" s="4">
        <f t="shared" si="0"/>
        <v>500</v>
      </c>
      <c r="L23" s="3" t="s">
        <v>175</v>
      </c>
      <c r="M23" s="3" t="s">
        <v>176</v>
      </c>
      <c r="N23" s="3" t="s">
        <v>177</v>
      </c>
    </row>
    <row r="24" spans="1:14" ht="42.75">
      <c r="A24" s="3" t="s">
        <v>161</v>
      </c>
      <c r="B24" s="3" t="s">
        <v>178</v>
      </c>
      <c r="C24" s="3" t="s">
        <v>179</v>
      </c>
      <c r="D24" s="3" t="s">
        <v>180</v>
      </c>
      <c r="E24" s="3" t="s">
        <v>154</v>
      </c>
      <c r="F24" s="3" t="s">
        <v>181</v>
      </c>
      <c r="G24" s="3" t="s">
        <v>182</v>
      </c>
      <c r="H24" s="3" t="s">
        <v>183</v>
      </c>
      <c r="I24" s="4">
        <v>400</v>
      </c>
      <c r="J24" s="10">
        <v>1</v>
      </c>
      <c r="K24" s="4">
        <f t="shared" si="0"/>
        <v>400</v>
      </c>
      <c r="L24" s="3" t="s">
        <v>184</v>
      </c>
      <c r="M24" s="3" t="s">
        <v>185</v>
      </c>
      <c r="N24" s="3" t="s">
        <v>186</v>
      </c>
    </row>
    <row r="25" spans="1:14" ht="42.75">
      <c r="A25" s="3" t="s">
        <v>161</v>
      </c>
      <c r="B25" s="3" t="s">
        <v>187</v>
      </c>
      <c r="C25" s="3" t="s">
        <v>179</v>
      </c>
      <c r="D25" s="3" t="s">
        <v>188</v>
      </c>
      <c r="E25" s="3" t="s">
        <v>154</v>
      </c>
      <c r="F25" s="3" t="s">
        <v>189</v>
      </c>
      <c r="G25" s="3" t="s">
        <v>190</v>
      </c>
      <c r="H25" s="3" t="s">
        <v>191</v>
      </c>
      <c r="I25" s="4">
        <v>300</v>
      </c>
      <c r="J25" s="10">
        <v>1</v>
      </c>
      <c r="K25" s="4">
        <f t="shared" si="0"/>
        <v>300</v>
      </c>
      <c r="L25" s="3" t="s">
        <v>192</v>
      </c>
      <c r="M25" s="3" t="s">
        <v>193</v>
      </c>
      <c r="N25" s="3" t="s">
        <v>194</v>
      </c>
    </row>
    <row r="26" spans="1:14" ht="28.5">
      <c r="A26" s="3" t="s">
        <v>161</v>
      </c>
      <c r="B26" s="3" t="s">
        <v>195</v>
      </c>
      <c r="C26" s="3" t="s">
        <v>179</v>
      </c>
      <c r="D26" s="3" t="s">
        <v>196</v>
      </c>
      <c r="E26" s="3" t="s">
        <v>154</v>
      </c>
      <c r="F26" s="3" t="s">
        <v>197</v>
      </c>
      <c r="G26" s="3" t="s">
        <v>198</v>
      </c>
      <c r="H26" s="3" t="s">
        <v>199</v>
      </c>
      <c r="I26" s="4">
        <v>600</v>
      </c>
      <c r="J26" s="10">
        <v>1</v>
      </c>
      <c r="K26" s="4">
        <f t="shared" si="0"/>
        <v>600</v>
      </c>
      <c r="L26" s="3" t="s">
        <v>200</v>
      </c>
      <c r="M26" s="3" t="s">
        <v>201</v>
      </c>
      <c r="N26" s="3" t="s">
        <v>202</v>
      </c>
    </row>
    <row r="27" spans="1:14" ht="42.75">
      <c r="A27" s="3" t="s">
        <v>161</v>
      </c>
      <c r="B27" s="3" t="s">
        <v>203</v>
      </c>
      <c r="C27" s="3" t="s">
        <v>204</v>
      </c>
      <c r="D27" s="3" t="s">
        <v>205</v>
      </c>
      <c r="E27" s="3" t="s">
        <v>206</v>
      </c>
      <c r="F27" s="3" t="s">
        <v>207</v>
      </c>
      <c r="G27" s="3" t="s">
        <v>208</v>
      </c>
      <c r="H27" s="3" t="s">
        <v>209</v>
      </c>
      <c r="I27" s="4">
        <v>250</v>
      </c>
      <c r="J27" s="10">
        <v>1</v>
      </c>
      <c r="K27" s="4">
        <f t="shared" si="0"/>
        <v>250</v>
      </c>
      <c r="L27" s="3" t="s">
        <v>210</v>
      </c>
      <c r="M27" s="3" t="s">
        <v>211</v>
      </c>
      <c r="N27" s="3" t="s">
        <v>212</v>
      </c>
    </row>
    <row r="28" spans="1:14" ht="28.5">
      <c r="A28" s="3" t="s">
        <v>161</v>
      </c>
      <c r="B28" s="3" t="s">
        <v>213</v>
      </c>
      <c r="C28" s="3" t="s">
        <v>214</v>
      </c>
      <c r="D28" s="3" t="s">
        <v>215</v>
      </c>
      <c r="E28" s="3" t="s">
        <v>216</v>
      </c>
      <c r="F28" s="3" t="s">
        <v>217</v>
      </c>
      <c r="G28" s="3" t="s">
        <v>218</v>
      </c>
      <c r="H28" s="3" t="s">
        <v>219</v>
      </c>
      <c r="I28" s="4">
        <v>250</v>
      </c>
      <c r="J28" s="10">
        <v>1</v>
      </c>
      <c r="K28" s="4">
        <f t="shared" si="0"/>
        <v>250</v>
      </c>
      <c r="L28" s="3" t="s">
        <v>220</v>
      </c>
      <c r="M28" s="3" t="s">
        <v>221</v>
      </c>
      <c r="N28" s="3" t="s">
        <v>212</v>
      </c>
    </row>
    <row r="29" spans="1:14" ht="28.5">
      <c r="A29" s="3" t="s">
        <v>161</v>
      </c>
      <c r="B29" s="3" t="s">
        <v>222</v>
      </c>
      <c r="C29" s="3" t="s">
        <v>204</v>
      </c>
      <c r="D29" s="3" t="s">
        <v>223</v>
      </c>
      <c r="E29" s="3" t="s">
        <v>224</v>
      </c>
      <c r="F29" s="3" t="s">
        <v>217</v>
      </c>
      <c r="G29" s="3" t="s">
        <v>225</v>
      </c>
      <c r="H29" s="3" t="s">
        <v>226</v>
      </c>
      <c r="I29" s="4">
        <v>250</v>
      </c>
      <c r="J29" s="10">
        <v>1</v>
      </c>
      <c r="K29" s="4">
        <f t="shared" si="0"/>
        <v>250</v>
      </c>
      <c r="L29" s="3" t="s">
        <v>227</v>
      </c>
      <c r="M29" s="3" t="s">
        <v>228</v>
      </c>
      <c r="N29" s="3" t="s">
        <v>212</v>
      </c>
    </row>
    <row r="30" spans="1:14">
      <c r="I30" s="5"/>
      <c r="K30" s="5" t="str">
        <f t="shared" si="0"/>
        <v/>
      </c>
    </row>
    <row r="31" spans="1:14">
      <c r="I31" s="5"/>
      <c r="K31" s="5"/>
    </row>
    <row r="32" spans="1:14">
      <c r="I32" s="5"/>
      <c r="K32" s="5"/>
    </row>
    <row r="33" spans="9:11">
      <c r="I33" s="5"/>
      <c r="K33" s="5"/>
    </row>
    <row r="34" spans="9:11">
      <c r="I34" s="5"/>
      <c r="K34" s="5"/>
    </row>
    <row r="35" spans="9:11">
      <c r="I35" s="5"/>
      <c r="K35" s="5"/>
    </row>
    <row r="36" spans="9:11">
      <c r="I36" s="5"/>
      <c r="K36" s="5"/>
    </row>
    <row r="37" spans="9:11">
      <c r="I37" s="5"/>
      <c r="K37" s="5"/>
    </row>
    <row r="38" spans="9:11">
      <c r="I38" s="5"/>
      <c r="K38" s="5"/>
    </row>
    <row r="39" spans="9:11">
      <c r="I39" s="5"/>
      <c r="K39" s="5"/>
    </row>
    <row r="40" spans="9:11">
      <c r="I40" s="5"/>
      <c r="K40" s="5"/>
    </row>
    <row r="41" spans="9:11">
      <c r="I41" s="5"/>
      <c r="K41" s="5"/>
    </row>
    <row r="42" spans="9:11">
      <c r="I42" s="5"/>
      <c r="K42" s="5"/>
    </row>
    <row r="43" spans="9:11">
      <c r="I43" s="5"/>
      <c r="K43" s="5"/>
    </row>
    <row r="44" spans="9:11">
      <c r="I44" s="5"/>
      <c r="K44" s="5"/>
    </row>
    <row r="45" spans="9:11">
      <c r="I45" s="5"/>
      <c r="K45" s="5"/>
    </row>
    <row r="46" spans="9:11">
      <c r="I46" s="5"/>
      <c r="K46" s="5"/>
    </row>
    <row r="47" spans="9:11">
      <c r="I47" s="5"/>
      <c r="K47" s="5"/>
    </row>
    <row r="48" spans="9:11">
      <c r="I48" s="5"/>
      <c r="K48" s="5"/>
    </row>
    <row r="49" spans="9:11">
      <c r="I49" s="5"/>
      <c r="K49" s="5"/>
    </row>
    <row r="50" spans="9:11">
      <c r="I50" s="5"/>
      <c r="K50" s="5"/>
    </row>
    <row r="51" spans="9:11">
      <c r="I51" s="5"/>
      <c r="K51" s="5"/>
    </row>
    <row r="52" spans="9:11">
      <c r="I52" s="5"/>
      <c r="K52" s="5"/>
    </row>
    <row r="53" spans="9:11">
      <c r="I53" s="5"/>
      <c r="K53" s="5"/>
    </row>
    <row r="54" spans="9:11">
      <c r="I54" s="5"/>
      <c r="K54" s="5"/>
    </row>
    <row r="55" spans="9:11">
      <c r="I55" s="5"/>
      <c r="K55" s="5"/>
    </row>
    <row r="56" spans="9:11">
      <c r="I56" s="5"/>
      <c r="K56" s="5"/>
    </row>
    <row r="57" spans="9:11">
      <c r="I57" s="5"/>
      <c r="K57" s="5"/>
    </row>
    <row r="58" spans="9:11">
      <c r="I58" s="5"/>
      <c r="K58" s="5"/>
    </row>
    <row r="59" spans="9:11">
      <c r="I59" s="5"/>
      <c r="K59" s="5"/>
    </row>
    <row r="60" spans="9:11">
      <c r="I60" s="5"/>
      <c r="K60" s="5"/>
    </row>
    <row r="61" spans="9:11">
      <c r="I61" s="5"/>
      <c r="K61" s="5"/>
    </row>
    <row r="62" spans="9:11">
      <c r="I62" s="5"/>
      <c r="K62" s="5"/>
    </row>
    <row r="63" spans="9:11">
      <c r="I63" s="5"/>
      <c r="K63" s="5"/>
    </row>
    <row r="64" spans="9:11">
      <c r="I64" s="5"/>
      <c r="K64" s="5"/>
    </row>
    <row r="65" spans="9:11">
      <c r="I65" s="5"/>
      <c r="K65" s="5"/>
    </row>
    <row r="66" spans="9:11">
      <c r="I66" s="5"/>
      <c r="K66" s="5"/>
    </row>
    <row r="67" spans="9:11">
      <c r="I67" s="5"/>
      <c r="K67" s="5"/>
    </row>
    <row r="68" spans="9:11">
      <c r="I68" s="5"/>
      <c r="K68" s="5"/>
    </row>
    <row r="69" spans="9:11">
      <c r="I69" s="5"/>
      <c r="K69" s="5"/>
    </row>
    <row r="70" spans="9:11">
      <c r="I70" s="5"/>
      <c r="K70" s="5"/>
    </row>
    <row r="71" spans="9:11">
      <c r="I71" s="5"/>
      <c r="K71" s="5"/>
    </row>
    <row r="72" spans="9:11">
      <c r="I72" s="5"/>
      <c r="K72" s="5"/>
    </row>
    <row r="73" spans="9:11">
      <c r="I73" s="5"/>
      <c r="K73" s="5"/>
    </row>
    <row r="74" spans="9:11">
      <c r="I74" s="5"/>
      <c r="K74" s="5"/>
    </row>
    <row r="75" spans="9:11">
      <c r="I75" s="5"/>
      <c r="K75" s="5"/>
    </row>
    <row r="76" spans="9:11">
      <c r="I76" s="5"/>
      <c r="K76" s="5"/>
    </row>
    <row r="77" spans="9:11">
      <c r="I77" s="5"/>
      <c r="K77" s="5"/>
    </row>
    <row r="78" spans="9:11">
      <c r="I78" s="5"/>
      <c r="K78" s="5"/>
    </row>
    <row r="79" spans="9:11">
      <c r="I79" s="5"/>
      <c r="K79" s="5"/>
    </row>
    <row r="80" spans="9:11">
      <c r="I80" s="5"/>
      <c r="K80" s="5"/>
    </row>
    <row r="81" spans="9:11">
      <c r="I81" s="5"/>
      <c r="K81" s="5"/>
    </row>
    <row r="82" spans="9:11">
      <c r="I82" s="5"/>
      <c r="K82" s="5"/>
    </row>
    <row r="83" spans="9:11">
      <c r="I83" s="5"/>
      <c r="K83" s="5"/>
    </row>
    <row r="84" spans="9:11">
      <c r="I84" s="5"/>
      <c r="K84" s="5"/>
    </row>
    <row r="85" spans="9:11">
      <c r="I85" s="5"/>
      <c r="K85" s="5"/>
    </row>
    <row r="86" spans="9:11">
      <c r="I86" s="5"/>
      <c r="K86" s="5"/>
    </row>
    <row r="87" spans="9:11">
      <c r="I87" s="5"/>
      <c r="K87" s="5"/>
    </row>
    <row r="88" spans="9:11">
      <c r="I88" s="5"/>
      <c r="K88" s="5"/>
    </row>
    <row r="89" spans="9:11">
      <c r="I89" s="5"/>
      <c r="K89" s="5"/>
    </row>
    <row r="90" spans="9:11">
      <c r="I90" s="5"/>
      <c r="K90" s="5"/>
    </row>
    <row r="91" spans="9:11">
      <c r="I91" s="5"/>
      <c r="K91" s="5"/>
    </row>
    <row r="92" spans="9:11">
      <c r="I92" s="5"/>
      <c r="K92" s="5"/>
    </row>
    <row r="93" spans="9:11">
      <c r="I93" s="5"/>
      <c r="K93" s="5"/>
    </row>
    <row r="94" spans="9:11">
      <c r="I94" s="5"/>
      <c r="K94" s="5"/>
    </row>
    <row r="95" spans="9:11">
      <c r="I95" s="5"/>
      <c r="K95" s="5"/>
    </row>
    <row r="96" spans="9:11">
      <c r="I96" s="5"/>
      <c r="K96" s="5"/>
    </row>
    <row r="97" spans="9:11">
      <c r="I97" s="5"/>
      <c r="K97" s="5"/>
    </row>
    <row r="98" spans="9:11">
      <c r="I98" s="5"/>
      <c r="K98" s="5"/>
    </row>
    <row r="99" spans="9:11">
      <c r="I99" s="5"/>
      <c r="K99" s="5"/>
    </row>
    <row r="100" spans="9:11">
      <c r="I100" s="5"/>
      <c r="K100" s="5"/>
    </row>
    <row r="101" spans="9:11">
      <c r="I101" s="5"/>
      <c r="K101" s="5"/>
    </row>
    <row r="102" spans="9:11">
      <c r="I102" s="5"/>
      <c r="K102" s="5"/>
    </row>
    <row r="103" spans="9:11">
      <c r="I103" s="5"/>
      <c r="K103" s="5"/>
    </row>
    <row r="104" spans="9:11">
      <c r="I104" s="5"/>
      <c r="K104" s="5"/>
    </row>
    <row r="105" spans="9:11">
      <c r="I105" s="5"/>
      <c r="K105" s="5"/>
    </row>
    <row r="106" spans="9:11">
      <c r="I106" s="5"/>
      <c r="K106" s="5"/>
    </row>
    <row r="107" spans="9:11">
      <c r="I107" s="5"/>
      <c r="K107" s="5"/>
    </row>
    <row r="108" spans="9:11">
      <c r="I108" s="5"/>
      <c r="K108" s="5"/>
    </row>
    <row r="109" spans="9:11">
      <c r="I109" s="5"/>
      <c r="K109" s="5"/>
    </row>
    <row r="110" spans="9:11">
      <c r="I110" s="5"/>
      <c r="K110" s="5"/>
    </row>
    <row r="111" spans="9:11">
      <c r="I111" s="5"/>
      <c r="K111" s="5"/>
    </row>
    <row r="112" spans="9:11">
      <c r="I112" s="5"/>
      <c r="K112" s="5"/>
    </row>
    <row r="113" spans="9:11">
      <c r="I113" s="5"/>
      <c r="K113" s="5"/>
    </row>
    <row r="114" spans="9:11">
      <c r="I114" s="5"/>
      <c r="K114" s="5"/>
    </row>
    <row r="115" spans="9:11">
      <c r="I115" s="5"/>
      <c r="K115" s="5"/>
    </row>
    <row r="116" spans="9:11">
      <c r="I116" s="5"/>
      <c r="K116" s="5"/>
    </row>
    <row r="117" spans="9:11">
      <c r="I117" s="5"/>
      <c r="K117" s="5"/>
    </row>
    <row r="118" spans="9:11">
      <c r="I118" s="5"/>
      <c r="K118" s="5"/>
    </row>
    <row r="119" spans="9:11">
      <c r="I119" s="5"/>
      <c r="K119" s="5"/>
    </row>
    <row r="120" spans="9:11">
      <c r="I120" s="5"/>
      <c r="K120" s="5"/>
    </row>
    <row r="121" spans="9:11">
      <c r="I121" s="5"/>
      <c r="K121" s="5"/>
    </row>
    <row r="122" spans="9:11">
      <c r="I122" s="5"/>
      <c r="K122" s="5"/>
    </row>
    <row r="123" spans="9:11">
      <c r="I123" s="5"/>
      <c r="K123" s="5"/>
    </row>
    <row r="124" spans="9:11">
      <c r="I124" s="5"/>
      <c r="K124" s="5"/>
    </row>
    <row r="125" spans="9:11">
      <c r="I125" s="5"/>
      <c r="K125" s="5"/>
    </row>
    <row r="126" spans="9:11">
      <c r="I126" s="5"/>
      <c r="K126" s="5"/>
    </row>
    <row r="127" spans="9:11">
      <c r="I127" s="5"/>
      <c r="K127" s="5"/>
    </row>
    <row r="128" spans="9:11">
      <c r="I128" s="5"/>
      <c r="K128" s="5"/>
    </row>
    <row r="129" spans="9:11">
      <c r="I129" s="5"/>
      <c r="K129" s="5"/>
    </row>
    <row r="130" spans="9:11">
      <c r="I130" s="5"/>
      <c r="K130" s="5"/>
    </row>
    <row r="131" spans="9:11">
      <c r="I131" s="5"/>
      <c r="K131" s="5"/>
    </row>
    <row r="132" spans="9:11">
      <c r="I132" s="5"/>
      <c r="K132" s="5"/>
    </row>
    <row r="133" spans="9:11">
      <c r="I133" s="5"/>
      <c r="K133" s="5"/>
    </row>
    <row r="134" spans="9:11">
      <c r="I134" s="5"/>
      <c r="K134" s="5"/>
    </row>
    <row r="135" spans="9:11">
      <c r="I135" s="5"/>
      <c r="K135" s="5"/>
    </row>
    <row r="136" spans="9:11">
      <c r="I136" s="5"/>
      <c r="K136" s="5"/>
    </row>
    <row r="137" spans="9:11">
      <c r="I137" s="5"/>
      <c r="K137" s="5"/>
    </row>
    <row r="138" spans="9:11">
      <c r="I138" s="5"/>
      <c r="K138" s="5"/>
    </row>
    <row r="139" spans="9:11">
      <c r="I139" s="5"/>
      <c r="K139" s="5"/>
    </row>
    <row r="140" spans="9:11">
      <c r="I140" s="5"/>
      <c r="K140" s="5"/>
    </row>
    <row r="141" spans="9:11">
      <c r="I141" s="5"/>
      <c r="K141" s="5"/>
    </row>
    <row r="142" spans="9:11">
      <c r="I142" s="5"/>
      <c r="K142" s="5"/>
    </row>
    <row r="143" spans="9:11">
      <c r="I143" s="5"/>
      <c r="K143" s="5"/>
    </row>
    <row r="144" spans="9:11">
      <c r="I144" s="5"/>
      <c r="K144" s="5"/>
    </row>
    <row r="145" spans="9:11">
      <c r="I145" s="5"/>
      <c r="K145" s="5"/>
    </row>
    <row r="146" spans="9:11">
      <c r="I146" s="5"/>
      <c r="K146" s="5"/>
    </row>
    <row r="147" spans="9:11">
      <c r="I147" s="5"/>
      <c r="K147" s="5"/>
    </row>
    <row r="148" spans="9:11">
      <c r="I148" s="5"/>
      <c r="K148" s="5"/>
    </row>
    <row r="149" spans="9:11">
      <c r="I149" s="5"/>
      <c r="K149" s="5"/>
    </row>
    <row r="150" spans="9:11">
      <c r="I150" s="5"/>
      <c r="K150" s="5"/>
    </row>
    <row r="151" spans="9:11">
      <c r="I151" s="5"/>
      <c r="K151" s="5"/>
    </row>
    <row r="152" spans="9:11">
      <c r="I152" s="5"/>
      <c r="K152" s="5"/>
    </row>
    <row r="153" spans="9:11">
      <c r="I153" s="5"/>
      <c r="K153" s="5"/>
    </row>
    <row r="154" spans="9:11">
      <c r="I154" s="5"/>
      <c r="K154" s="5"/>
    </row>
    <row r="155" spans="9:11">
      <c r="I155" s="5"/>
      <c r="K155" s="5"/>
    </row>
    <row r="156" spans="9:11">
      <c r="I156" s="5"/>
      <c r="K156" s="5"/>
    </row>
    <row r="157" spans="9:11">
      <c r="I157" s="5"/>
      <c r="K157" s="5"/>
    </row>
    <row r="158" spans="9:11">
      <c r="I158" s="5"/>
      <c r="K158" s="5"/>
    </row>
    <row r="159" spans="9:11">
      <c r="I159" s="5"/>
      <c r="K159" s="5"/>
    </row>
    <row r="160" spans="9:11">
      <c r="I160" s="5"/>
      <c r="K160" s="5"/>
    </row>
    <row r="161" spans="9:11">
      <c r="I161" s="5"/>
      <c r="K161" s="5"/>
    </row>
    <row r="162" spans="9:11">
      <c r="I162" s="5"/>
      <c r="K162" s="5"/>
    </row>
    <row r="163" spans="9:11">
      <c r="I163" s="5"/>
      <c r="K163" s="5"/>
    </row>
    <row r="164" spans="9:11">
      <c r="I164" s="5"/>
      <c r="K164" s="5"/>
    </row>
    <row r="165" spans="9:11">
      <c r="I165" s="5"/>
      <c r="K165" s="5"/>
    </row>
    <row r="166" spans="9:11">
      <c r="I166" s="5"/>
      <c r="K166" s="5"/>
    </row>
    <row r="167" spans="9:11">
      <c r="I167" s="5"/>
      <c r="K167" s="5"/>
    </row>
    <row r="168" spans="9:11">
      <c r="I168" s="5"/>
      <c r="K168" s="5"/>
    </row>
    <row r="169" spans="9:11">
      <c r="I169" s="5"/>
      <c r="K169" s="5"/>
    </row>
    <row r="170" spans="9:11">
      <c r="I170" s="5"/>
      <c r="K170" s="5"/>
    </row>
    <row r="171" spans="9:11">
      <c r="I171" s="5"/>
      <c r="K171" s="5"/>
    </row>
    <row r="172" spans="9:11">
      <c r="I172" s="5"/>
      <c r="K172" s="5"/>
    </row>
    <row r="173" spans="9:11">
      <c r="I173" s="5"/>
      <c r="K173" s="5"/>
    </row>
    <row r="174" spans="9:11">
      <c r="I174" s="5"/>
      <c r="K174" s="5"/>
    </row>
    <row r="175" spans="9:11">
      <c r="I175" s="5"/>
      <c r="K175" s="5"/>
    </row>
    <row r="176" spans="9:11">
      <c r="I176" s="5"/>
      <c r="K176" s="5"/>
    </row>
    <row r="177" spans="9:11">
      <c r="I177" s="5"/>
      <c r="K177" s="5"/>
    </row>
    <row r="178" spans="9:11">
      <c r="I178" s="5"/>
      <c r="K178" s="5"/>
    </row>
    <row r="179" spans="9:11">
      <c r="I179" s="5"/>
      <c r="K179" s="5"/>
    </row>
    <row r="180" spans="9:11">
      <c r="I180" s="5"/>
      <c r="K180" s="5"/>
    </row>
    <row r="181" spans="9:11">
      <c r="I181" s="5"/>
      <c r="K181" s="5"/>
    </row>
    <row r="182" spans="9:11">
      <c r="I182" s="5"/>
      <c r="K182" s="5"/>
    </row>
    <row r="183" spans="9:11">
      <c r="I183" s="5"/>
      <c r="K183" s="5"/>
    </row>
    <row r="184" spans="9:11">
      <c r="I184" s="5"/>
      <c r="K184" s="5"/>
    </row>
    <row r="185" spans="9:11">
      <c r="I185" s="5"/>
      <c r="K185" s="5"/>
    </row>
    <row r="186" spans="9:11">
      <c r="I186" s="5"/>
      <c r="K186" s="5"/>
    </row>
    <row r="187" spans="9:11">
      <c r="I187" s="5"/>
      <c r="K187" s="5"/>
    </row>
    <row r="188" spans="9:11">
      <c r="I188" s="5"/>
      <c r="K188" s="5"/>
    </row>
    <row r="189" spans="9:11">
      <c r="I189" s="5"/>
      <c r="K189" s="5"/>
    </row>
    <row r="190" spans="9:11">
      <c r="I190" s="5"/>
      <c r="K190" s="5"/>
    </row>
    <row r="191" spans="9:11">
      <c r="I191" s="5"/>
      <c r="K191" s="5"/>
    </row>
    <row r="192" spans="9:11">
      <c r="I192" s="5"/>
      <c r="K192" s="5"/>
    </row>
    <row r="193" spans="9:11">
      <c r="I193" s="5"/>
      <c r="K193" s="5"/>
    </row>
    <row r="194" spans="9:11">
      <c r="I194" s="5"/>
      <c r="K194" s="5"/>
    </row>
    <row r="195" spans="9:11">
      <c r="I195" s="5"/>
      <c r="K195" s="5"/>
    </row>
    <row r="196" spans="9:11">
      <c r="I196" s="5"/>
      <c r="K196" s="5"/>
    </row>
    <row r="197" spans="9:11">
      <c r="I197" s="5"/>
      <c r="K197" s="5"/>
    </row>
    <row r="198" spans="9:11">
      <c r="I198" s="5"/>
      <c r="K198" s="5"/>
    </row>
    <row r="199" spans="9:11">
      <c r="I199" s="5"/>
      <c r="K199" s="5"/>
    </row>
    <row r="200" spans="9:11">
      <c r="I200" s="5"/>
      <c r="K200" s="5"/>
    </row>
  </sheetData>
  <mergeCells count="2">
    <mergeCell ref="A1:N1"/>
    <mergeCell ref="A2:N2"/>
  </mergeCells>
  <hyperlinks>
    <hyperlink ref="N14" r:id="rId1" xr:uid="{A64E6FE7-D743-424B-89C6-63BEDBE8D046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00"/>
  <sheetViews>
    <sheetView topLeftCell="A3" workbookViewId="0">
      <selection activeCell="N9" sqref="N9"/>
    </sheetView>
  </sheetViews>
  <sheetFormatPr defaultRowHeight="14.25"/>
  <cols>
    <col min="1" max="1" width="14" customWidth="1"/>
    <col min="2" max="2" width="26" customWidth="1"/>
    <col min="3" max="3" width="16" customWidth="1"/>
    <col min="4" max="4" width="20" customWidth="1"/>
    <col min="5" max="5" width="24" customWidth="1"/>
    <col min="6" max="6" width="20" customWidth="1"/>
    <col min="7" max="7" width="38" customWidth="1"/>
    <col min="8" max="8" width="32" customWidth="1"/>
    <col min="9" max="9" width="14" customWidth="1"/>
    <col min="10" max="10" width="8" customWidth="1"/>
    <col min="11" max="11" width="14" customWidth="1"/>
    <col min="12" max="12" width="38" customWidth="1"/>
    <col min="13" max="13" width="42" customWidth="1"/>
    <col min="14" max="14" width="55" customWidth="1"/>
  </cols>
  <sheetData>
    <row r="1" spans="1:14" ht="18">
      <c r="A1" s="7" t="s">
        <v>229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42.75">
      <c r="A5" s="3" t="s">
        <v>16</v>
      </c>
      <c r="B5" s="3" t="s">
        <v>230</v>
      </c>
      <c r="C5" s="3" t="s">
        <v>231</v>
      </c>
      <c r="D5" s="3" t="s">
        <v>232</v>
      </c>
      <c r="E5" s="3" t="s">
        <v>233</v>
      </c>
      <c r="F5" s="3" t="s">
        <v>234</v>
      </c>
      <c r="G5" s="3" t="s">
        <v>235</v>
      </c>
      <c r="H5" s="3" t="s">
        <v>236</v>
      </c>
      <c r="I5" s="4">
        <v>43</v>
      </c>
      <c r="J5" s="10">
        <v>4</v>
      </c>
      <c r="K5" s="4">
        <f t="shared" ref="K5:K18" si="0">IF(ISNUMBER(I5),I5*J5,"")</f>
        <v>172</v>
      </c>
      <c r="L5" s="3" t="s">
        <v>237</v>
      </c>
      <c r="M5" s="3" t="s">
        <v>238</v>
      </c>
      <c r="N5" s="3" t="s">
        <v>239</v>
      </c>
    </row>
    <row r="6" spans="1:14" ht="42.75">
      <c r="A6" s="3" t="s">
        <v>16</v>
      </c>
      <c r="B6" s="3" t="s">
        <v>240</v>
      </c>
      <c r="C6" s="3" t="s">
        <v>231</v>
      </c>
      <c r="D6" s="3" t="s">
        <v>241</v>
      </c>
      <c r="E6" s="3" t="s">
        <v>233</v>
      </c>
      <c r="F6" s="3" t="s">
        <v>234</v>
      </c>
      <c r="G6" s="3" t="s">
        <v>242</v>
      </c>
      <c r="H6" s="3" t="s">
        <v>243</v>
      </c>
      <c r="I6" s="4">
        <v>60</v>
      </c>
      <c r="J6" s="10">
        <v>4</v>
      </c>
      <c r="K6" s="4">
        <f t="shared" si="0"/>
        <v>240</v>
      </c>
      <c r="L6" s="3" t="s">
        <v>244</v>
      </c>
      <c r="M6" s="3" t="s">
        <v>245</v>
      </c>
      <c r="N6" s="13" t="s">
        <v>246</v>
      </c>
    </row>
    <row r="7" spans="1:14" ht="42.75">
      <c r="A7" s="3" t="s">
        <v>16</v>
      </c>
      <c r="B7" s="3" t="s">
        <v>247</v>
      </c>
      <c r="C7" s="3" t="s">
        <v>81</v>
      </c>
      <c r="D7" s="3" t="s">
        <v>248</v>
      </c>
      <c r="E7" s="3" t="s">
        <v>249</v>
      </c>
      <c r="F7" s="3" t="s">
        <v>250</v>
      </c>
      <c r="G7" s="3" t="s">
        <v>251</v>
      </c>
      <c r="H7" s="3" t="s">
        <v>252</v>
      </c>
      <c r="I7" s="4">
        <v>55</v>
      </c>
      <c r="J7" s="10">
        <v>4</v>
      </c>
      <c r="K7" s="4">
        <f t="shared" si="0"/>
        <v>220</v>
      </c>
      <c r="L7" s="3" t="s">
        <v>253</v>
      </c>
      <c r="M7" s="3" t="s">
        <v>254</v>
      </c>
      <c r="N7" s="3" t="s">
        <v>255</v>
      </c>
    </row>
    <row r="8" spans="1:14" ht="28.5">
      <c r="A8" s="3" t="s">
        <v>16</v>
      </c>
      <c r="B8" s="3" t="s">
        <v>256</v>
      </c>
      <c r="C8" s="3" t="s">
        <v>257</v>
      </c>
      <c r="D8" s="3" t="s">
        <v>258</v>
      </c>
      <c r="E8" s="3" t="s">
        <v>259</v>
      </c>
      <c r="F8" s="3" t="s">
        <v>260</v>
      </c>
      <c r="G8" s="3" t="s">
        <v>261</v>
      </c>
      <c r="H8" s="3" t="s">
        <v>262</v>
      </c>
      <c r="I8" s="4">
        <v>68</v>
      </c>
      <c r="J8" s="10">
        <v>4</v>
      </c>
      <c r="K8" s="4">
        <f t="shared" si="0"/>
        <v>272</v>
      </c>
      <c r="L8" s="3" t="s">
        <v>263</v>
      </c>
      <c r="M8" s="3" t="s">
        <v>264</v>
      </c>
      <c r="N8" s="3" t="s">
        <v>265</v>
      </c>
    </row>
    <row r="9" spans="1:14" ht="42.75">
      <c r="A9" s="3" t="s">
        <v>89</v>
      </c>
      <c r="B9" s="3" t="s">
        <v>266</v>
      </c>
      <c r="C9" s="3" t="s">
        <v>267</v>
      </c>
      <c r="D9" s="3" t="s">
        <v>268</v>
      </c>
      <c r="E9" s="3" t="s">
        <v>269</v>
      </c>
      <c r="F9" s="3" t="s">
        <v>270</v>
      </c>
      <c r="G9" s="3" t="s">
        <v>271</v>
      </c>
      <c r="H9" s="3" t="s">
        <v>272</v>
      </c>
      <c r="I9" s="4">
        <v>83</v>
      </c>
      <c r="J9" s="10">
        <v>4</v>
      </c>
      <c r="K9" s="4">
        <f t="shared" si="0"/>
        <v>332</v>
      </c>
      <c r="L9" s="3" t="s">
        <v>273</v>
      </c>
      <c r="M9" s="3" t="s">
        <v>274</v>
      </c>
      <c r="N9" s="13" t="s">
        <v>275</v>
      </c>
    </row>
    <row r="10" spans="1:14" ht="28.5">
      <c r="A10" s="3" t="s">
        <v>89</v>
      </c>
      <c r="B10" s="3" t="s">
        <v>276</v>
      </c>
      <c r="C10" s="3" t="s">
        <v>277</v>
      </c>
      <c r="D10" s="3" t="s">
        <v>278</v>
      </c>
      <c r="E10" s="3" t="s">
        <v>279</v>
      </c>
      <c r="F10" s="3" t="s">
        <v>280</v>
      </c>
      <c r="G10" s="3" t="s">
        <v>281</v>
      </c>
      <c r="H10" s="3" t="s">
        <v>282</v>
      </c>
      <c r="I10" s="4">
        <v>103</v>
      </c>
      <c r="J10" s="10">
        <v>4</v>
      </c>
      <c r="K10" s="4">
        <f t="shared" si="0"/>
        <v>412</v>
      </c>
      <c r="L10" s="3" t="s">
        <v>283</v>
      </c>
      <c r="M10" s="3" t="s">
        <v>284</v>
      </c>
      <c r="N10" s="3" t="s">
        <v>285</v>
      </c>
    </row>
    <row r="11" spans="1:14" ht="28.5">
      <c r="A11" s="3" t="s">
        <v>144</v>
      </c>
      <c r="B11" s="3" t="s">
        <v>286</v>
      </c>
      <c r="C11" s="3" t="s">
        <v>277</v>
      </c>
      <c r="D11" s="3" t="s">
        <v>287</v>
      </c>
      <c r="E11" s="3" t="s">
        <v>288</v>
      </c>
      <c r="F11" s="3" t="s">
        <v>280</v>
      </c>
      <c r="G11" s="3" t="s">
        <v>289</v>
      </c>
      <c r="H11" s="3" t="s">
        <v>290</v>
      </c>
      <c r="I11" s="4">
        <v>120</v>
      </c>
      <c r="J11" s="10">
        <v>4</v>
      </c>
      <c r="K11" s="4">
        <f t="shared" si="0"/>
        <v>480</v>
      </c>
      <c r="L11" s="3" t="s">
        <v>291</v>
      </c>
      <c r="M11" s="3" t="s">
        <v>292</v>
      </c>
      <c r="N11" s="3" t="s">
        <v>293</v>
      </c>
    </row>
    <row r="12" spans="1:14" ht="42.75">
      <c r="A12" s="3" t="s">
        <v>144</v>
      </c>
      <c r="B12" s="3" t="s">
        <v>294</v>
      </c>
      <c r="C12" s="3" t="s">
        <v>231</v>
      </c>
      <c r="D12" s="3" t="s">
        <v>295</v>
      </c>
      <c r="E12" s="3" t="s">
        <v>296</v>
      </c>
      <c r="F12" s="3" t="s">
        <v>234</v>
      </c>
      <c r="G12" s="3" t="s">
        <v>297</v>
      </c>
      <c r="H12" s="3" t="s">
        <v>298</v>
      </c>
      <c r="I12" s="4">
        <v>105</v>
      </c>
      <c r="J12" s="10">
        <v>4</v>
      </c>
      <c r="K12" s="4">
        <f t="shared" si="0"/>
        <v>420</v>
      </c>
      <c r="L12" s="3" t="s">
        <v>299</v>
      </c>
      <c r="M12" s="3" t="s">
        <v>300</v>
      </c>
      <c r="N12" s="3" t="s">
        <v>239</v>
      </c>
    </row>
    <row r="13" spans="1:14" ht="28.5">
      <c r="A13" s="3" t="s">
        <v>161</v>
      </c>
      <c r="B13" s="3" t="s">
        <v>301</v>
      </c>
      <c r="C13" s="3" t="s">
        <v>277</v>
      </c>
      <c r="D13" s="3" t="s">
        <v>302</v>
      </c>
      <c r="E13" s="3" t="s">
        <v>303</v>
      </c>
      <c r="F13" s="3" t="s">
        <v>304</v>
      </c>
      <c r="G13" s="3" t="s">
        <v>305</v>
      </c>
      <c r="H13" s="3" t="s">
        <v>306</v>
      </c>
      <c r="I13" s="4">
        <v>160</v>
      </c>
      <c r="J13" s="10">
        <v>4</v>
      </c>
      <c r="K13" s="4">
        <f t="shared" si="0"/>
        <v>640</v>
      </c>
      <c r="L13" s="3" t="s">
        <v>307</v>
      </c>
      <c r="M13" s="3" t="s">
        <v>308</v>
      </c>
      <c r="N13" s="13" t="s">
        <v>309</v>
      </c>
    </row>
    <row r="14" spans="1:14" ht="28.5">
      <c r="A14" s="3" t="s">
        <v>161</v>
      </c>
      <c r="B14" s="3" t="s">
        <v>310</v>
      </c>
      <c r="C14" s="3" t="s">
        <v>311</v>
      </c>
      <c r="D14" s="3" t="s">
        <v>312</v>
      </c>
      <c r="E14" s="3" t="s">
        <v>313</v>
      </c>
      <c r="F14" s="3" t="s">
        <v>314</v>
      </c>
      <c r="G14" s="3" t="s">
        <v>315</v>
      </c>
      <c r="H14" s="3" t="s">
        <v>316</v>
      </c>
      <c r="I14" s="4">
        <v>300</v>
      </c>
      <c r="J14" s="10">
        <v>4</v>
      </c>
      <c r="K14" s="4">
        <f t="shared" si="0"/>
        <v>1200</v>
      </c>
      <c r="L14" s="3" t="s">
        <v>317</v>
      </c>
      <c r="M14" s="3" t="s">
        <v>318</v>
      </c>
      <c r="N14" s="13" t="s">
        <v>319</v>
      </c>
    </row>
    <row r="15" spans="1:14" ht="42.75">
      <c r="A15" s="3" t="s">
        <v>161</v>
      </c>
      <c r="B15" s="3" t="s">
        <v>320</v>
      </c>
      <c r="C15" s="3" t="s">
        <v>321</v>
      </c>
      <c r="D15" s="3" t="s">
        <v>322</v>
      </c>
      <c r="E15" s="3" t="s">
        <v>323</v>
      </c>
      <c r="F15" s="3" t="s">
        <v>280</v>
      </c>
      <c r="G15" s="3" t="s">
        <v>324</v>
      </c>
      <c r="H15" s="3" t="s">
        <v>325</v>
      </c>
      <c r="I15" s="4">
        <v>520</v>
      </c>
      <c r="J15" s="10">
        <v>1</v>
      </c>
      <c r="K15" s="4">
        <f t="shared" si="0"/>
        <v>520</v>
      </c>
      <c r="L15" s="3" t="s">
        <v>326</v>
      </c>
      <c r="M15" s="3" t="s">
        <v>327</v>
      </c>
      <c r="N15" s="3" t="s">
        <v>328</v>
      </c>
    </row>
    <row r="16" spans="1:14" ht="28.5">
      <c r="A16" s="3" t="s">
        <v>329</v>
      </c>
      <c r="B16" s="3" t="s">
        <v>330</v>
      </c>
      <c r="C16" s="3" t="s">
        <v>277</v>
      </c>
      <c r="D16" s="3" t="s">
        <v>331</v>
      </c>
      <c r="E16" s="3" t="s">
        <v>332</v>
      </c>
      <c r="F16" s="3" t="s">
        <v>333</v>
      </c>
      <c r="G16" s="3" t="s">
        <v>334</v>
      </c>
      <c r="H16" s="3" t="s">
        <v>335</v>
      </c>
      <c r="I16" s="4">
        <v>60</v>
      </c>
      <c r="J16" s="10">
        <v>4</v>
      </c>
      <c r="K16" s="4">
        <f t="shared" si="0"/>
        <v>240</v>
      </c>
      <c r="L16" s="3" t="s">
        <v>336</v>
      </c>
      <c r="M16" s="3" t="s">
        <v>337</v>
      </c>
      <c r="N16" s="3" t="s">
        <v>338</v>
      </c>
    </row>
    <row r="17" spans="1:14" ht="28.5">
      <c r="A17" s="3" t="s">
        <v>329</v>
      </c>
      <c r="B17" s="3" t="s">
        <v>339</v>
      </c>
      <c r="C17" s="3" t="s">
        <v>277</v>
      </c>
      <c r="D17" s="3" t="s">
        <v>331</v>
      </c>
      <c r="E17" s="3" t="s">
        <v>340</v>
      </c>
      <c r="F17" s="3" t="s">
        <v>333</v>
      </c>
      <c r="G17" s="3" t="s">
        <v>341</v>
      </c>
      <c r="H17" s="3" t="s">
        <v>335</v>
      </c>
      <c r="I17" s="4">
        <v>70</v>
      </c>
      <c r="J17" s="10">
        <v>4</v>
      </c>
      <c r="K17" s="4">
        <f t="shared" si="0"/>
        <v>280</v>
      </c>
      <c r="L17" s="3" t="s">
        <v>342</v>
      </c>
      <c r="M17" s="3" t="s">
        <v>337</v>
      </c>
      <c r="N17" s="3" t="s">
        <v>343</v>
      </c>
    </row>
    <row r="18" spans="1:14">
      <c r="I18" s="5"/>
      <c r="J18" s="5"/>
      <c r="K18" s="5" t="str">
        <f t="shared" si="0"/>
        <v/>
      </c>
    </row>
    <row r="19" spans="1:14">
      <c r="I19" s="5"/>
      <c r="J19" s="5"/>
      <c r="K19" s="5"/>
    </row>
    <row r="20" spans="1:14">
      <c r="I20" s="5"/>
      <c r="J20" s="5"/>
      <c r="K20" s="5"/>
    </row>
    <row r="21" spans="1:14">
      <c r="I21" s="5"/>
      <c r="J21" s="5"/>
      <c r="K21" s="5"/>
    </row>
    <row r="22" spans="1:14">
      <c r="I22" s="5"/>
      <c r="J22" s="5"/>
      <c r="K22" s="5"/>
    </row>
    <row r="23" spans="1:14">
      <c r="I23" s="5"/>
      <c r="J23" s="5"/>
      <c r="K23" s="5"/>
    </row>
    <row r="24" spans="1:14">
      <c r="I24" s="5"/>
      <c r="J24" s="5"/>
      <c r="K24" s="5"/>
    </row>
    <row r="25" spans="1:14">
      <c r="I25" s="5"/>
      <c r="J25" s="5"/>
      <c r="K25" s="5"/>
    </row>
    <row r="26" spans="1:14">
      <c r="I26" s="5"/>
      <c r="J26" s="5"/>
      <c r="K26" s="5"/>
    </row>
    <row r="27" spans="1:14">
      <c r="I27" s="5"/>
      <c r="J27" s="5"/>
      <c r="K27" s="5"/>
    </row>
    <row r="28" spans="1:14">
      <c r="I28" s="5"/>
      <c r="J28" s="5"/>
      <c r="K28" s="5"/>
    </row>
    <row r="29" spans="1:14">
      <c r="I29" s="5"/>
      <c r="J29" s="5"/>
      <c r="K29" s="5"/>
    </row>
    <row r="30" spans="1:14">
      <c r="I30" s="5"/>
      <c r="J30" s="5"/>
      <c r="K30" s="5"/>
    </row>
    <row r="31" spans="1:14">
      <c r="I31" s="5"/>
      <c r="J31" s="5"/>
      <c r="K31" s="5"/>
    </row>
    <row r="32" spans="1:14">
      <c r="I32" s="5"/>
      <c r="J32" s="5"/>
      <c r="K32" s="5"/>
    </row>
    <row r="33" spans="9:11">
      <c r="I33" s="5"/>
      <c r="J33" s="5"/>
      <c r="K33" s="5"/>
    </row>
    <row r="34" spans="9:11">
      <c r="I34" s="5"/>
      <c r="J34" s="5"/>
      <c r="K34" s="5"/>
    </row>
    <row r="35" spans="9:11">
      <c r="I35" s="5"/>
      <c r="J35" s="5"/>
      <c r="K35" s="5"/>
    </row>
    <row r="36" spans="9:11">
      <c r="I36" s="5"/>
      <c r="J36" s="5"/>
      <c r="K36" s="5"/>
    </row>
    <row r="37" spans="9:11">
      <c r="I37" s="5"/>
      <c r="J37" s="5"/>
      <c r="K37" s="5"/>
    </row>
    <row r="38" spans="9:11">
      <c r="I38" s="5"/>
      <c r="J38" s="5"/>
      <c r="K38" s="5"/>
    </row>
    <row r="39" spans="9:11">
      <c r="I39" s="5"/>
      <c r="J39" s="5"/>
      <c r="K39" s="5"/>
    </row>
    <row r="40" spans="9:11">
      <c r="I40" s="5"/>
      <c r="J40" s="5"/>
      <c r="K40" s="5"/>
    </row>
    <row r="41" spans="9:11">
      <c r="I41" s="5"/>
      <c r="J41" s="5"/>
      <c r="K41" s="5"/>
    </row>
    <row r="42" spans="9:11">
      <c r="I42" s="5"/>
      <c r="J42" s="5"/>
      <c r="K42" s="5"/>
    </row>
    <row r="43" spans="9:11">
      <c r="I43" s="5"/>
      <c r="J43" s="5"/>
      <c r="K43" s="5"/>
    </row>
    <row r="44" spans="9:11">
      <c r="I44" s="5"/>
      <c r="J44" s="5"/>
      <c r="K44" s="5"/>
    </row>
    <row r="45" spans="9:11">
      <c r="I45" s="5"/>
      <c r="J45" s="5"/>
      <c r="K45" s="5"/>
    </row>
    <row r="46" spans="9:11">
      <c r="I46" s="5"/>
      <c r="J46" s="5"/>
      <c r="K46" s="5"/>
    </row>
    <row r="47" spans="9:11">
      <c r="I47" s="5"/>
      <c r="J47" s="5"/>
      <c r="K47" s="5"/>
    </row>
    <row r="48" spans="9:11">
      <c r="I48" s="5"/>
      <c r="J48" s="5"/>
      <c r="K48" s="5"/>
    </row>
    <row r="49" spans="9:11">
      <c r="I49" s="5"/>
      <c r="J49" s="5"/>
      <c r="K49" s="5"/>
    </row>
    <row r="50" spans="9:11">
      <c r="I50" s="5"/>
      <c r="J50" s="5"/>
      <c r="K50" s="5"/>
    </row>
    <row r="51" spans="9:11">
      <c r="I51" s="5"/>
      <c r="J51" s="5"/>
      <c r="K51" s="5"/>
    </row>
    <row r="52" spans="9:11">
      <c r="I52" s="5"/>
      <c r="J52" s="5"/>
      <c r="K52" s="5"/>
    </row>
    <row r="53" spans="9:11">
      <c r="I53" s="5"/>
      <c r="J53" s="5"/>
      <c r="K53" s="5"/>
    </row>
    <row r="54" spans="9:11">
      <c r="I54" s="5"/>
      <c r="J54" s="5"/>
      <c r="K54" s="5"/>
    </row>
    <row r="55" spans="9:11">
      <c r="I55" s="5"/>
      <c r="J55" s="5"/>
      <c r="K55" s="5"/>
    </row>
    <row r="56" spans="9:11">
      <c r="I56" s="5"/>
      <c r="J56" s="5"/>
      <c r="K56" s="5"/>
    </row>
    <row r="57" spans="9:11">
      <c r="I57" s="5"/>
      <c r="J57" s="5"/>
      <c r="K57" s="5"/>
    </row>
    <row r="58" spans="9:11">
      <c r="I58" s="5"/>
      <c r="J58" s="5"/>
      <c r="K58" s="5"/>
    </row>
    <row r="59" spans="9:11">
      <c r="I59" s="5"/>
      <c r="J59" s="5"/>
      <c r="K59" s="5"/>
    </row>
    <row r="60" spans="9:11">
      <c r="I60" s="5"/>
      <c r="J60" s="5"/>
      <c r="K60" s="5"/>
    </row>
    <row r="61" spans="9:11">
      <c r="I61" s="5"/>
      <c r="J61" s="5"/>
      <c r="K61" s="5"/>
    </row>
    <row r="62" spans="9:11">
      <c r="I62" s="5"/>
      <c r="J62" s="5"/>
      <c r="K62" s="5"/>
    </row>
    <row r="63" spans="9:11">
      <c r="I63" s="5"/>
      <c r="J63" s="5"/>
      <c r="K63" s="5"/>
    </row>
    <row r="64" spans="9:11">
      <c r="I64" s="5"/>
      <c r="J64" s="5"/>
      <c r="K64" s="5"/>
    </row>
    <row r="65" spans="9:11">
      <c r="I65" s="5"/>
      <c r="J65" s="5"/>
      <c r="K65" s="5"/>
    </row>
    <row r="66" spans="9:11">
      <c r="I66" s="5"/>
      <c r="J66" s="5"/>
      <c r="K66" s="5"/>
    </row>
    <row r="67" spans="9:11">
      <c r="I67" s="5"/>
      <c r="J67" s="5"/>
      <c r="K67" s="5"/>
    </row>
    <row r="68" spans="9:11">
      <c r="I68" s="5"/>
      <c r="J68" s="5"/>
      <c r="K68" s="5"/>
    </row>
    <row r="69" spans="9:11">
      <c r="I69" s="5"/>
      <c r="J69" s="5"/>
      <c r="K69" s="5"/>
    </row>
    <row r="70" spans="9:11">
      <c r="I70" s="5"/>
      <c r="J70" s="5"/>
      <c r="K70" s="5"/>
    </row>
    <row r="71" spans="9:11">
      <c r="I71" s="5"/>
      <c r="J71" s="5"/>
      <c r="K71" s="5"/>
    </row>
    <row r="72" spans="9:11">
      <c r="I72" s="5"/>
      <c r="J72" s="5"/>
      <c r="K72" s="5"/>
    </row>
    <row r="73" spans="9:11">
      <c r="I73" s="5"/>
      <c r="J73" s="5"/>
      <c r="K73" s="5"/>
    </row>
    <row r="74" spans="9:11">
      <c r="I74" s="5"/>
      <c r="J74" s="5"/>
      <c r="K74" s="5"/>
    </row>
    <row r="75" spans="9:11">
      <c r="I75" s="5"/>
      <c r="J75" s="5"/>
      <c r="K75" s="5"/>
    </row>
    <row r="76" spans="9:11">
      <c r="I76" s="5"/>
      <c r="J76" s="5"/>
      <c r="K76" s="5"/>
    </row>
    <row r="77" spans="9:11">
      <c r="I77" s="5"/>
      <c r="J77" s="5"/>
      <c r="K77" s="5"/>
    </row>
    <row r="78" spans="9:11">
      <c r="I78" s="5"/>
      <c r="J78" s="5"/>
      <c r="K78" s="5"/>
    </row>
    <row r="79" spans="9:11">
      <c r="I79" s="5"/>
      <c r="J79" s="5"/>
      <c r="K79" s="5"/>
    </row>
    <row r="80" spans="9:11">
      <c r="I80" s="5"/>
      <c r="J80" s="5"/>
      <c r="K80" s="5"/>
    </row>
    <row r="81" spans="9:11">
      <c r="I81" s="5"/>
      <c r="J81" s="5"/>
      <c r="K81" s="5"/>
    </row>
    <row r="82" spans="9:11">
      <c r="I82" s="5"/>
      <c r="J82" s="5"/>
      <c r="K82" s="5"/>
    </row>
    <row r="83" spans="9:11">
      <c r="I83" s="5"/>
      <c r="J83" s="5"/>
      <c r="K83" s="5"/>
    </row>
    <row r="84" spans="9:11">
      <c r="I84" s="5"/>
      <c r="J84" s="5"/>
      <c r="K84" s="5"/>
    </row>
    <row r="85" spans="9:11">
      <c r="I85" s="5"/>
      <c r="J85" s="5"/>
      <c r="K85" s="5"/>
    </row>
    <row r="86" spans="9:11">
      <c r="I86" s="5"/>
      <c r="J86" s="5"/>
      <c r="K86" s="5"/>
    </row>
    <row r="87" spans="9:11">
      <c r="I87" s="5"/>
      <c r="J87" s="5"/>
      <c r="K87" s="5"/>
    </row>
    <row r="88" spans="9:11">
      <c r="I88" s="5"/>
      <c r="J88" s="5"/>
      <c r="K88" s="5"/>
    </row>
    <row r="89" spans="9:11">
      <c r="I89" s="5"/>
      <c r="J89" s="5"/>
      <c r="K89" s="5"/>
    </row>
    <row r="90" spans="9:11">
      <c r="I90" s="5"/>
      <c r="J90" s="5"/>
      <c r="K90" s="5"/>
    </row>
    <row r="91" spans="9:11">
      <c r="I91" s="5"/>
      <c r="J91" s="5"/>
      <c r="K91" s="5"/>
    </row>
    <row r="92" spans="9:11">
      <c r="I92" s="5"/>
      <c r="J92" s="5"/>
      <c r="K92" s="5"/>
    </row>
    <row r="93" spans="9:11">
      <c r="I93" s="5"/>
      <c r="J93" s="5"/>
      <c r="K93" s="5"/>
    </row>
    <row r="94" spans="9:11">
      <c r="I94" s="5"/>
      <c r="J94" s="5"/>
      <c r="K94" s="5"/>
    </row>
    <row r="95" spans="9:11">
      <c r="I95" s="5"/>
      <c r="J95" s="5"/>
      <c r="K95" s="5"/>
    </row>
    <row r="96" spans="9:11">
      <c r="I96" s="5"/>
      <c r="J96" s="5"/>
      <c r="K96" s="5"/>
    </row>
    <row r="97" spans="9:11">
      <c r="I97" s="5"/>
      <c r="J97" s="5"/>
      <c r="K97" s="5"/>
    </row>
    <row r="98" spans="9:11">
      <c r="I98" s="5"/>
      <c r="J98" s="5"/>
      <c r="K98" s="5"/>
    </row>
    <row r="99" spans="9:11">
      <c r="I99" s="5"/>
      <c r="J99" s="5"/>
      <c r="K99" s="5"/>
    </row>
    <row r="100" spans="9:11">
      <c r="I100" s="5"/>
      <c r="J100" s="5"/>
      <c r="K100" s="5"/>
    </row>
    <row r="101" spans="9:11">
      <c r="I101" s="5"/>
      <c r="J101" s="5"/>
      <c r="K101" s="5"/>
    </row>
    <row r="102" spans="9:11">
      <c r="I102" s="5"/>
      <c r="J102" s="5"/>
      <c r="K102" s="5"/>
    </row>
    <row r="103" spans="9:11">
      <c r="I103" s="5"/>
      <c r="J103" s="5"/>
      <c r="K103" s="5"/>
    </row>
    <row r="104" spans="9:11">
      <c r="I104" s="5"/>
      <c r="J104" s="5"/>
      <c r="K104" s="5"/>
    </row>
    <row r="105" spans="9:11">
      <c r="I105" s="5"/>
      <c r="J105" s="5"/>
      <c r="K105" s="5"/>
    </row>
    <row r="106" spans="9:11">
      <c r="I106" s="5"/>
      <c r="J106" s="5"/>
      <c r="K106" s="5"/>
    </row>
    <row r="107" spans="9:11">
      <c r="I107" s="5"/>
      <c r="J107" s="5"/>
      <c r="K107" s="5"/>
    </row>
    <row r="108" spans="9:11">
      <c r="I108" s="5"/>
      <c r="J108" s="5"/>
      <c r="K108" s="5"/>
    </row>
    <row r="109" spans="9:11">
      <c r="I109" s="5"/>
      <c r="J109" s="5"/>
      <c r="K109" s="5"/>
    </row>
    <row r="110" spans="9:11">
      <c r="I110" s="5"/>
      <c r="J110" s="5"/>
      <c r="K110" s="5"/>
    </row>
    <row r="111" spans="9:11">
      <c r="I111" s="5"/>
      <c r="J111" s="5"/>
      <c r="K111" s="5"/>
    </row>
    <row r="112" spans="9:11">
      <c r="I112" s="5"/>
      <c r="J112" s="5"/>
      <c r="K112" s="5"/>
    </row>
    <row r="113" spans="9:11">
      <c r="I113" s="5"/>
      <c r="J113" s="5"/>
      <c r="K113" s="5"/>
    </row>
    <row r="114" spans="9:11">
      <c r="I114" s="5"/>
      <c r="J114" s="5"/>
      <c r="K114" s="5"/>
    </row>
    <row r="115" spans="9:11">
      <c r="I115" s="5"/>
      <c r="J115" s="5"/>
      <c r="K115" s="5"/>
    </row>
    <row r="116" spans="9:11">
      <c r="I116" s="5"/>
      <c r="J116" s="5"/>
      <c r="K116" s="5"/>
    </row>
    <row r="117" spans="9:11">
      <c r="I117" s="5"/>
      <c r="J117" s="5"/>
      <c r="K117" s="5"/>
    </row>
    <row r="118" spans="9:11">
      <c r="I118" s="5"/>
      <c r="J118" s="5"/>
      <c r="K118" s="5"/>
    </row>
    <row r="119" spans="9:11">
      <c r="I119" s="5"/>
      <c r="J119" s="5"/>
      <c r="K119" s="5"/>
    </row>
    <row r="120" spans="9:11">
      <c r="I120" s="5"/>
      <c r="J120" s="5"/>
      <c r="K120" s="5"/>
    </row>
    <row r="121" spans="9:11">
      <c r="I121" s="5"/>
      <c r="J121" s="5"/>
      <c r="K121" s="5"/>
    </row>
    <row r="122" spans="9:11">
      <c r="I122" s="5"/>
      <c r="J122" s="5"/>
      <c r="K122" s="5"/>
    </row>
    <row r="123" spans="9:11">
      <c r="I123" s="5"/>
      <c r="J123" s="5"/>
      <c r="K123" s="5"/>
    </row>
    <row r="124" spans="9:11">
      <c r="I124" s="5"/>
      <c r="J124" s="5"/>
      <c r="K124" s="5"/>
    </row>
    <row r="125" spans="9:11">
      <c r="I125" s="5"/>
      <c r="J125" s="5"/>
      <c r="K125" s="5"/>
    </row>
    <row r="126" spans="9:11">
      <c r="I126" s="5"/>
      <c r="J126" s="5"/>
      <c r="K126" s="5"/>
    </row>
    <row r="127" spans="9:11">
      <c r="I127" s="5"/>
      <c r="J127" s="5"/>
      <c r="K127" s="5"/>
    </row>
    <row r="128" spans="9:11">
      <c r="I128" s="5"/>
      <c r="J128" s="5"/>
      <c r="K128" s="5"/>
    </row>
    <row r="129" spans="9:11">
      <c r="I129" s="5"/>
      <c r="J129" s="5"/>
      <c r="K129" s="5"/>
    </row>
    <row r="130" spans="9:11">
      <c r="I130" s="5"/>
      <c r="J130" s="5"/>
      <c r="K130" s="5"/>
    </row>
    <row r="131" spans="9:11">
      <c r="I131" s="5"/>
      <c r="J131" s="5"/>
      <c r="K131" s="5"/>
    </row>
    <row r="132" spans="9:11">
      <c r="I132" s="5"/>
      <c r="J132" s="5"/>
      <c r="K132" s="5"/>
    </row>
    <row r="133" spans="9:11">
      <c r="I133" s="5"/>
      <c r="J133" s="5"/>
      <c r="K133" s="5"/>
    </row>
    <row r="134" spans="9:11">
      <c r="I134" s="5"/>
      <c r="J134" s="5"/>
      <c r="K134" s="5"/>
    </row>
    <row r="135" spans="9:11">
      <c r="I135" s="5"/>
      <c r="J135" s="5"/>
      <c r="K135" s="5"/>
    </row>
    <row r="136" spans="9:11">
      <c r="I136" s="5"/>
      <c r="J136" s="5"/>
      <c r="K136" s="5"/>
    </row>
    <row r="137" spans="9:11">
      <c r="I137" s="5"/>
      <c r="J137" s="5"/>
      <c r="K137" s="5"/>
    </row>
    <row r="138" spans="9:11">
      <c r="I138" s="5"/>
      <c r="J138" s="5"/>
      <c r="K138" s="5"/>
    </row>
    <row r="139" spans="9:11">
      <c r="I139" s="5"/>
      <c r="J139" s="5"/>
      <c r="K139" s="5"/>
    </row>
    <row r="140" spans="9:11">
      <c r="I140" s="5"/>
      <c r="J140" s="5"/>
      <c r="K140" s="5"/>
    </row>
    <row r="141" spans="9:11">
      <c r="I141" s="5"/>
      <c r="J141" s="5"/>
      <c r="K141" s="5"/>
    </row>
    <row r="142" spans="9:11">
      <c r="I142" s="5"/>
      <c r="J142" s="5"/>
      <c r="K142" s="5"/>
    </row>
    <row r="143" spans="9:11">
      <c r="I143" s="5"/>
      <c r="J143" s="5"/>
      <c r="K143" s="5"/>
    </row>
    <row r="144" spans="9:11">
      <c r="I144" s="5"/>
      <c r="J144" s="5"/>
      <c r="K144" s="5"/>
    </row>
    <row r="145" spans="9:11">
      <c r="I145" s="5"/>
      <c r="J145" s="5"/>
      <c r="K145" s="5"/>
    </row>
    <row r="146" spans="9:11">
      <c r="I146" s="5"/>
      <c r="J146" s="5"/>
      <c r="K146" s="5"/>
    </row>
    <row r="147" spans="9:11">
      <c r="I147" s="5"/>
      <c r="J147" s="5"/>
      <c r="K147" s="5"/>
    </row>
    <row r="148" spans="9:11">
      <c r="I148" s="5"/>
      <c r="J148" s="5"/>
      <c r="K148" s="5"/>
    </row>
    <row r="149" spans="9:11">
      <c r="I149" s="5"/>
      <c r="J149" s="5"/>
      <c r="K149" s="5"/>
    </row>
    <row r="150" spans="9:11">
      <c r="I150" s="5"/>
      <c r="J150" s="5"/>
      <c r="K150" s="5"/>
    </row>
    <row r="151" spans="9:11">
      <c r="I151" s="5"/>
      <c r="J151" s="5"/>
      <c r="K151" s="5"/>
    </row>
    <row r="152" spans="9:11">
      <c r="I152" s="5"/>
      <c r="J152" s="5"/>
      <c r="K152" s="5"/>
    </row>
    <row r="153" spans="9:11">
      <c r="I153" s="5"/>
      <c r="J153" s="5"/>
      <c r="K153" s="5"/>
    </row>
    <row r="154" spans="9:11">
      <c r="I154" s="5"/>
      <c r="J154" s="5"/>
      <c r="K154" s="5"/>
    </row>
    <row r="155" spans="9:11">
      <c r="I155" s="5"/>
      <c r="J155" s="5"/>
      <c r="K155" s="5"/>
    </row>
    <row r="156" spans="9:11">
      <c r="I156" s="5"/>
      <c r="J156" s="5"/>
      <c r="K156" s="5"/>
    </row>
    <row r="157" spans="9:11">
      <c r="I157" s="5"/>
      <c r="J157" s="5"/>
      <c r="K157" s="5"/>
    </row>
    <row r="158" spans="9:11">
      <c r="I158" s="5"/>
      <c r="J158" s="5"/>
      <c r="K158" s="5"/>
    </row>
    <row r="159" spans="9:11">
      <c r="I159" s="5"/>
      <c r="J159" s="5"/>
      <c r="K159" s="5"/>
    </row>
    <row r="160" spans="9:11">
      <c r="I160" s="5"/>
      <c r="J160" s="5"/>
      <c r="K160" s="5"/>
    </row>
    <row r="161" spans="9:11">
      <c r="I161" s="5"/>
      <c r="J161" s="5"/>
      <c r="K161" s="5"/>
    </row>
    <row r="162" spans="9:11">
      <c r="I162" s="5"/>
      <c r="J162" s="5"/>
      <c r="K162" s="5"/>
    </row>
    <row r="163" spans="9:11">
      <c r="I163" s="5"/>
      <c r="J163" s="5"/>
      <c r="K163" s="5"/>
    </row>
    <row r="164" spans="9:11">
      <c r="I164" s="5"/>
      <c r="J164" s="5"/>
      <c r="K164" s="5"/>
    </row>
    <row r="165" spans="9:11">
      <c r="I165" s="5"/>
      <c r="J165" s="5"/>
      <c r="K165" s="5"/>
    </row>
    <row r="166" spans="9:11">
      <c r="I166" s="5"/>
      <c r="J166" s="5"/>
      <c r="K166" s="5"/>
    </row>
    <row r="167" spans="9:11">
      <c r="I167" s="5"/>
      <c r="J167" s="5"/>
      <c r="K167" s="5"/>
    </row>
    <row r="168" spans="9:11">
      <c r="I168" s="5"/>
      <c r="J168" s="5"/>
      <c r="K168" s="5"/>
    </row>
    <row r="169" spans="9:11">
      <c r="I169" s="5"/>
      <c r="J169" s="5"/>
      <c r="K169" s="5"/>
    </row>
    <row r="170" spans="9:11">
      <c r="I170" s="5"/>
      <c r="J170" s="5"/>
      <c r="K170" s="5"/>
    </row>
    <row r="171" spans="9:11">
      <c r="I171" s="5"/>
      <c r="J171" s="5"/>
      <c r="K171" s="5"/>
    </row>
    <row r="172" spans="9:11">
      <c r="I172" s="5"/>
      <c r="J172" s="5"/>
      <c r="K172" s="5"/>
    </row>
    <row r="173" spans="9:11">
      <c r="I173" s="5"/>
      <c r="J173" s="5"/>
      <c r="K173" s="5"/>
    </row>
    <row r="174" spans="9:11">
      <c r="I174" s="5"/>
      <c r="J174" s="5"/>
      <c r="K174" s="5"/>
    </row>
    <row r="175" spans="9:11">
      <c r="I175" s="5"/>
      <c r="J175" s="5"/>
      <c r="K175" s="5"/>
    </row>
    <row r="176" spans="9:11">
      <c r="I176" s="5"/>
      <c r="J176" s="5"/>
      <c r="K176" s="5"/>
    </row>
    <row r="177" spans="9:11">
      <c r="I177" s="5"/>
      <c r="J177" s="5"/>
      <c r="K177" s="5"/>
    </row>
    <row r="178" spans="9:11">
      <c r="I178" s="5"/>
      <c r="J178" s="5"/>
      <c r="K178" s="5"/>
    </row>
    <row r="179" spans="9:11">
      <c r="I179" s="5"/>
      <c r="J179" s="5"/>
      <c r="K179" s="5"/>
    </row>
    <row r="180" spans="9:11">
      <c r="I180" s="5"/>
      <c r="J180" s="5"/>
      <c r="K180" s="5"/>
    </row>
    <row r="181" spans="9:11">
      <c r="I181" s="5"/>
      <c r="J181" s="5"/>
      <c r="K181" s="5"/>
    </row>
    <row r="182" spans="9:11">
      <c r="I182" s="5"/>
      <c r="J182" s="5"/>
      <c r="K182" s="5"/>
    </row>
    <row r="183" spans="9:11">
      <c r="I183" s="5"/>
      <c r="J183" s="5"/>
      <c r="K183" s="5"/>
    </row>
    <row r="184" spans="9:11">
      <c r="I184" s="5"/>
      <c r="J184" s="5"/>
      <c r="K184" s="5"/>
    </row>
    <row r="185" spans="9:11">
      <c r="I185" s="5"/>
      <c r="J185" s="5"/>
      <c r="K185" s="5"/>
    </row>
    <row r="186" spans="9:11">
      <c r="I186" s="5"/>
      <c r="J186" s="5"/>
      <c r="K186" s="5"/>
    </row>
    <row r="187" spans="9:11">
      <c r="I187" s="5"/>
      <c r="J187" s="5"/>
      <c r="K187" s="5"/>
    </row>
    <row r="188" spans="9:11">
      <c r="I188" s="5"/>
      <c r="J188" s="5"/>
      <c r="K188" s="5"/>
    </row>
    <row r="189" spans="9:11">
      <c r="I189" s="5"/>
      <c r="J189" s="5"/>
      <c r="K189" s="5"/>
    </row>
    <row r="190" spans="9:11">
      <c r="I190" s="5"/>
      <c r="J190" s="5"/>
      <c r="K190" s="5"/>
    </row>
    <row r="191" spans="9:11">
      <c r="I191" s="5"/>
      <c r="J191" s="5"/>
      <c r="K191" s="5"/>
    </row>
    <row r="192" spans="9:11">
      <c r="I192" s="5"/>
      <c r="J192" s="5"/>
      <c r="K192" s="5"/>
    </row>
    <row r="193" spans="9:11">
      <c r="I193" s="5"/>
      <c r="J193" s="5"/>
      <c r="K193" s="5"/>
    </row>
    <row r="194" spans="9:11">
      <c r="I194" s="5"/>
      <c r="J194" s="5"/>
      <c r="K194" s="5"/>
    </row>
    <row r="195" spans="9:11">
      <c r="I195" s="5"/>
      <c r="J195" s="5"/>
      <c r="K195" s="5"/>
    </row>
    <row r="196" spans="9:11">
      <c r="I196" s="5"/>
      <c r="J196" s="5"/>
      <c r="K196" s="5"/>
    </row>
    <row r="197" spans="9:11">
      <c r="I197" s="5"/>
      <c r="J197" s="5"/>
      <c r="K197" s="5"/>
    </row>
    <row r="198" spans="9:11">
      <c r="I198" s="5"/>
      <c r="J198" s="5"/>
      <c r="K198" s="5"/>
    </row>
    <row r="199" spans="9:11">
      <c r="I199" s="5"/>
      <c r="J199" s="5"/>
      <c r="K199" s="5"/>
    </row>
    <row r="200" spans="9:11">
      <c r="I200" s="5"/>
      <c r="J200" s="5"/>
      <c r="K200" s="5"/>
    </row>
  </sheetData>
  <mergeCells count="2">
    <mergeCell ref="A1:N1"/>
    <mergeCell ref="A2:N2"/>
  </mergeCells>
  <hyperlinks>
    <hyperlink ref="N13" r:id="rId1" xr:uid="{DAEBC427-26AB-46E1-A696-0402CC2840EB}"/>
    <hyperlink ref="N14" r:id="rId2" xr:uid="{765DD7EA-4D25-4AAA-AC2A-528BC168819E}"/>
    <hyperlink ref="N6" r:id="rId3" xr:uid="{47966538-B36D-4F11-B2F2-16891E862FDF}"/>
    <hyperlink ref="N9" r:id="rId4" xr:uid="{F7E38E8B-7C8A-4AB5-B12A-7FD137BD71F6}"/>
  </hyperlinks>
  <pageMargins left="0.7" right="0.7" top="0.75" bottom="0.75" header="0.3" footer="0.3"/>
  <tableParts count="1"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200"/>
  <sheetViews>
    <sheetView topLeftCell="G1" workbookViewId="0">
      <selection activeCell="N5" sqref="N5"/>
    </sheetView>
  </sheetViews>
  <sheetFormatPr defaultRowHeight="14.25"/>
  <cols>
    <col min="1" max="1" width="14" customWidth="1"/>
    <col min="2" max="2" width="26" customWidth="1"/>
    <col min="3" max="3" width="16" customWidth="1"/>
    <col min="4" max="4" width="20" customWidth="1"/>
    <col min="5" max="5" width="24" customWidth="1"/>
    <col min="6" max="6" width="20" customWidth="1"/>
    <col min="7" max="7" width="38" customWidth="1"/>
    <col min="8" max="8" width="32" customWidth="1"/>
    <col min="9" max="9" width="14" customWidth="1"/>
    <col min="10" max="10" width="8" style="12" customWidth="1"/>
    <col min="11" max="11" width="14" customWidth="1"/>
    <col min="12" max="12" width="38" customWidth="1"/>
    <col min="13" max="13" width="42" customWidth="1"/>
    <col min="14" max="14" width="55" customWidth="1"/>
  </cols>
  <sheetData>
    <row r="1" spans="1:14" ht="18">
      <c r="A1" s="7" t="s">
        <v>344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42.75">
      <c r="A5" s="3" t="s">
        <v>16</v>
      </c>
      <c r="B5" s="3" t="s">
        <v>345</v>
      </c>
      <c r="C5" s="3" t="s">
        <v>36</v>
      </c>
      <c r="D5" s="3" t="s">
        <v>346</v>
      </c>
      <c r="E5" s="3" t="s">
        <v>347</v>
      </c>
      <c r="F5" s="3" t="s">
        <v>348</v>
      </c>
      <c r="G5" s="3" t="s">
        <v>349</v>
      </c>
      <c r="H5" s="3" t="s">
        <v>350</v>
      </c>
      <c r="I5" s="4">
        <v>25</v>
      </c>
      <c r="J5" s="10">
        <v>1</v>
      </c>
      <c r="K5" s="4">
        <f t="shared" ref="K5:K13" si="0">IF(ISNUMBER(I5),I5*J5,"")</f>
        <v>25</v>
      </c>
      <c r="L5" s="3" t="s">
        <v>351</v>
      </c>
      <c r="M5" s="3" t="s">
        <v>352</v>
      </c>
      <c r="N5" s="13" t="s">
        <v>353</v>
      </c>
    </row>
    <row r="6" spans="1:14" ht="28.5">
      <c r="A6" s="3" t="s">
        <v>16</v>
      </c>
      <c r="B6" s="3" t="s">
        <v>354</v>
      </c>
      <c r="C6" s="3" t="s">
        <v>63</v>
      </c>
      <c r="D6" s="3" t="s">
        <v>355</v>
      </c>
      <c r="E6" s="3" t="s">
        <v>356</v>
      </c>
      <c r="F6" s="3" t="s">
        <v>357</v>
      </c>
      <c r="G6" s="3" t="s">
        <v>358</v>
      </c>
      <c r="H6" s="3" t="s">
        <v>359</v>
      </c>
      <c r="I6" s="4">
        <v>45</v>
      </c>
      <c r="J6" s="10">
        <v>1</v>
      </c>
      <c r="K6" s="4">
        <f t="shared" si="0"/>
        <v>45</v>
      </c>
      <c r="L6" s="3" t="s">
        <v>360</v>
      </c>
      <c r="M6" s="3" t="s">
        <v>361</v>
      </c>
      <c r="N6" s="3" t="s">
        <v>362</v>
      </c>
    </row>
    <row r="7" spans="1:14" ht="42.75">
      <c r="A7" s="3" t="s">
        <v>89</v>
      </c>
      <c r="B7" s="3" t="s">
        <v>363</v>
      </c>
      <c r="C7" s="3" t="s">
        <v>36</v>
      </c>
      <c r="D7" s="3" t="s">
        <v>364</v>
      </c>
      <c r="E7" s="3" t="s">
        <v>365</v>
      </c>
      <c r="F7" s="3" t="s">
        <v>366</v>
      </c>
      <c r="G7" s="3" t="s">
        <v>367</v>
      </c>
      <c r="H7" s="3" t="s">
        <v>368</v>
      </c>
      <c r="I7" s="4">
        <v>32</v>
      </c>
      <c r="J7" s="10">
        <v>1</v>
      </c>
      <c r="K7" s="4">
        <f t="shared" si="0"/>
        <v>32</v>
      </c>
      <c r="L7" s="3" t="s">
        <v>369</v>
      </c>
      <c r="M7" s="3" t="s">
        <v>370</v>
      </c>
      <c r="N7" s="3" t="s">
        <v>371</v>
      </c>
    </row>
    <row r="8" spans="1:14" ht="28.5">
      <c r="A8" s="3" t="s">
        <v>89</v>
      </c>
      <c r="B8" s="3" t="s">
        <v>372</v>
      </c>
      <c r="C8" s="3" t="s">
        <v>36</v>
      </c>
      <c r="D8" s="3" t="s">
        <v>373</v>
      </c>
      <c r="E8" s="3" t="s">
        <v>374</v>
      </c>
      <c r="F8" s="3" t="s">
        <v>375</v>
      </c>
      <c r="G8" s="3" t="s">
        <v>376</v>
      </c>
      <c r="H8" s="3" t="s">
        <v>377</v>
      </c>
      <c r="I8" s="4">
        <v>60</v>
      </c>
      <c r="J8" s="10">
        <v>1</v>
      </c>
      <c r="K8" s="4">
        <f t="shared" si="0"/>
        <v>60</v>
      </c>
      <c r="L8" s="3" t="s">
        <v>378</v>
      </c>
      <c r="M8" s="3" t="s">
        <v>379</v>
      </c>
      <c r="N8" s="3" t="s">
        <v>380</v>
      </c>
    </row>
    <row r="9" spans="1:14" ht="28.5">
      <c r="A9" s="3" t="s">
        <v>144</v>
      </c>
      <c r="B9" s="3" t="s">
        <v>381</v>
      </c>
      <c r="C9" s="3" t="s">
        <v>179</v>
      </c>
      <c r="D9" s="3" t="s">
        <v>382</v>
      </c>
      <c r="E9" s="3" t="s">
        <v>383</v>
      </c>
      <c r="F9" s="3" t="s">
        <v>384</v>
      </c>
      <c r="G9" s="3" t="s">
        <v>385</v>
      </c>
      <c r="H9" s="3" t="s">
        <v>386</v>
      </c>
      <c r="I9" s="4">
        <v>100</v>
      </c>
      <c r="J9" s="10">
        <v>1</v>
      </c>
      <c r="K9" s="4">
        <f t="shared" si="0"/>
        <v>100</v>
      </c>
      <c r="L9" s="3" t="s">
        <v>387</v>
      </c>
      <c r="M9" s="3" t="s">
        <v>388</v>
      </c>
      <c r="N9" s="3" t="s">
        <v>389</v>
      </c>
    </row>
    <row r="10" spans="1:14" ht="42.75">
      <c r="A10" s="3" t="s">
        <v>144</v>
      </c>
      <c r="B10" s="3" t="s">
        <v>390</v>
      </c>
      <c r="C10" s="3" t="s">
        <v>63</v>
      </c>
      <c r="D10" s="3" t="s">
        <v>391</v>
      </c>
      <c r="E10" s="3" t="s">
        <v>392</v>
      </c>
      <c r="F10" s="3" t="s">
        <v>393</v>
      </c>
      <c r="G10" s="3" t="s">
        <v>394</v>
      </c>
      <c r="H10" s="3" t="s">
        <v>395</v>
      </c>
      <c r="I10" s="4">
        <v>100</v>
      </c>
      <c r="J10" s="10">
        <v>1</v>
      </c>
      <c r="K10" s="4">
        <f t="shared" si="0"/>
        <v>100</v>
      </c>
      <c r="L10" s="3" t="s">
        <v>396</v>
      </c>
      <c r="M10" s="3" t="s">
        <v>397</v>
      </c>
      <c r="N10" s="3" t="s">
        <v>398</v>
      </c>
    </row>
    <row r="11" spans="1:14" ht="42.75">
      <c r="A11" s="3" t="s">
        <v>161</v>
      </c>
      <c r="B11" s="3" t="s">
        <v>399</v>
      </c>
      <c r="C11" s="3" t="s">
        <v>400</v>
      </c>
      <c r="D11" s="3" t="s">
        <v>401</v>
      </c>
      <c r="E11" s="3" t="s">
        <v>402</v>
      </c>
      <c r="F11" s="3" t="s">
        <v>403</v>
      </c>
      <c r="G11" s="3" t="s">
        <v>404</v>
      </c>
      <c r="H11" s="3" t="s">
        <v>405</v>
      </c>
      <c r="I11" s="4">
        <v>150</v>
      </c>
      <c r="J11" s="10">
        <v>1</v>
      </c>
      <c r="K11" s="4">
        <f t="shared" si="0"/>
        <v>150</v>
      </c>
      <c r="L11" s="3" t="s">
        <v>406</v>
      </c>
      <c r="M11" s="3" t="s">
        <v>407</v>
      </c>
      <c r="N11" s="3" t="s">
        <v>408</v>
      </c>
    </row>
    <row r="12" spans="1:14" ht="28.5">
      <c r="A12" s="3" t="s">
        <v>409</v>
      </c>
      <c r="B12" s="3" t="s">
        <v>410</v>
      </c>
      <c r="C12" s="3" t="s">
        <v>36</v>
      </c>
      <c r="D12" s="3" t="s">
        <v>411</v>
      </c>
      <c r="E12" s="3" t="s">
        <v>412</v>
      </c>
      <c r="F12" s="3" t="s">
        <v>413</v>
      </c>
      <c r="G12" s="3" t="s">
        <v>414</v>
      </c>
      <c r="H12" s="3" t="s">
        <v>415</v>
      </c>
      <c r="I12" s="4">
        <v>25</v>
      </c>
      <c r="J12" s="10">
        <v>1</v>
      </c>
      <c r="K12" s="4">
        <f t="shared" si="0"/>
        <v>25</v>
      </c>
      <c r="L12" s="3" t="s">
        <v>416</v>
      </c>
      <c r="M12" s="3" t="s">
        <v>417</v>
      </c>
      <c r="N12" s="3" t="s">
        <v>418</v>
      </c>
    </row>
    <row r="13" spans="1:14">
      <c r="I13" s="5"/>
      <c r="K13" s="5" t="str">
        <f t="shared" si="0"/>
        <v/>
      </c>
    </row>
    <row r="14" spans="1:14">
      <c r="I14" s="5"/>
      <c r="K14" s="5"/>
    </row>
    <row r="15" spans="1:14">
      <c r="I15" s="5"/>
      <c r="K15" s="5"/>
    </row>
    <row r="16" spans="1:14">
      <c r="I16" s="5"/>
      <c r="K16" s="5"/>
    </row>
    <row r="17" spans="9:11">
      <c r="I17" s="5"/>
      <c r="K17" s="5"/>
    </row>
    <row r="18" spans="9:11">
      <c r="I18" s="5"/>
      <c r="K18" s="5"/>
    </row>
    <row r="19" spans="9:11">
      <c r="I19" s="5"/>
      <c r="K19" s="5"/>
    </row>
    <row r="20" spans="9:11">
      <c r="I20" s="5"/>
      <c r="K20" s="5"/>
    </row>
    <row r="21" spans="9:11">
      <c r="I21" s="5"/>
      <c r="K21" s="5"/>
    </row>
    <row r="22" spans="9:11">
      <c r="I22" s="5"/>
      <c r="K22" s="5"/>
    </row>
    <row r="23" spans="9:11">
      <c r="I23" s="5"/>
      <c r="K23" s="5"/>
    </row>
    <row r="24" spans="9:11">
      <c r="I24" s="5"/>
      <c r="K24" s="5"/>
    </row>
    <row r="25" spans="9:11">
      <c r="I25" s="5"/>
      <c r="K25" s="5"/>
    </row>
    <row r="26" spans="9:11">
      <c r="I26" s="5"/>
      <c r="K26" s="5"/>
    </row>
    <row r="27" spans="9:11">
      <c r="I27" s="5"/>
      <c r="K27" s="5"/>
    </row>
    <row r="28" spans="9:11">
      <c r="I28" s="5"/>
      <c r="K28" s="5"/>
    </row>
    <row r="29" spans="9:11">
      <c r="I29" s="5"/>
      <c r="K29" s="5"/>
    </row>
    <row r="30" spans="9:11">
      <c r="I30" s="5"/>
      <c r="K30" s="5"/>
    </row>
    <row r="31" spans="9:11">
      <c r="I31" s="5"/>
      <c r="K31" s="5"/>
    </row>
    <row r="32" spans="9:11">
      <c r="I32" s="5"/>
      <c r="K32" s="5"/>
    </row>
    <row r="33" spans="9:11">
      <c r="I33" s="5"/>
      <c r="K33" s="5"/>
    </row>
    <row r="34" spans="9:11">
      <c r="I34" s="5"/>
      <c r="K34" s="5"/>
    </row>
    <row r="35" spans="9:11">
      <c r="I35" s="5"/>
      <c r="K35" s="5"/>
    </row>
    <row r="36" spans="9:11">
      <c r="I36" s="5"/>
      <c r="K36" s="5"/>
    </row>
    <row r="37" spans="9:11">
      <c r="I37" s="5"/>
      <c r="K37" s="5"/>
    </row>
    <row r="38" spans="9:11">
      <c r="I38" s="5"/>
      <c r="K38" s="5"/>
    </row>
    <row r="39" spans="9:11">
      <c r="I39" s="5"/>
      <c r="K39" s="5"/>
    </row>
    <row r="40" spans="9:11">
      <c r="I40" s="5"/>
      <c r="K40" s="5"/>
    </row>
    <row r="41" spans="9:11">
      <c r="I41" s="5"/>
      <c r="K41" s="5"/>
    </row>
    <row r="42" spans="9:11">
      <c r="I42" s="5"/>
      <c r="K42" s="5"/>
    </row>
    <row r="43" spans="9:11">
      <c r="I43" s="5"/>
      <c r="K43" s="5"/>
    </row>
    <row r="44" spans="9:11">
      <c r="I44" s="5"/>
      <c r="K44" s="5"/>
    </row>
    <row r="45" spans="9:11">
      <c r="I45" s="5"/>
      <c r="K45" s="5"/>
    </row>
    <row r="46" spans="9:11">
      <c r="I46" s="5"/>
      <c r="K46" s="5"/>
    </row>
    <row r="47" spans="9:11">
      <c r="I47" s="5"/>
      <c r="K47" s="5"/>
    </row>
    <row r="48" spans="9:11">
      <c r="I48" s="5"/>
      <c r="K48" s="5"/>
    </row>
    <row r="49" spans="9:11">
      <c r="I49" s="5"/>
      <c r="K49" s="5"/>
    </row>
    <row r="50" spans="9:11">
      <c r="I50" s="5"/>
      <c r="K50" s="5"/>
    </row>
    <row r="51" spans="9:11">
      <c r="I51" s="5"/>
      <c r="K51" s="5"/>
    </row>
    <row r="52" spans="9:11">
      <c r="I52" s="5"/>
      <c r="K52" s="5"/>
    </row>
    <row r="53" spans="9:11">
      <c r="I53" s="5"/>
      <c r="K53" s="5"/>
    </row>
    <row r="54" spans="9:11">
      <c r="I54" s="5"/>
      <c r="K54" s="5"/>
    </row>
    <row r="55" spans="9:11">
      <c r="I55" s="5"/>
      <c r="K55" s="5"/>
    </row>
    <row r="56" spans="9:11">
      <c r="I56" s="5"/>
      <c r="K56" s="5"/>
    </row>
    <row r="57" spans="9:11">
      <c r="I57" s="5"/>
      <c r="K57" s="5"/>
    </row>
    <row r="58" spans="9:11">
      <c r="I58" s="5"/>
      <c r="K58" s="5"/>
    </row>
    <row r="59" spans="9:11">
      <c r="I59" s="5"/>
      <c r="K59" s="5"/>
    </row>
    <row r="60" spans="9:11">
      <c r="I60" s="5"/>
      <c r="K60" s="5"/>
    </row>
    <row r="61" spans="9:11">
      <c r="I61" s="5"/>
      <c r="K61" s="5"/>
    </row>
    <row r="62" spans="9:11">
      <c r="I62" s="5"/>
      <c r="K62" s="5"/>
    </row>
    <row r="63" spans="9:11">
      <c r="I63" s="5"/>
      <c r="K63" s="5"/>
    </row>
    <row r="64" spans="9:11">
      <c r="I64" s="5"/>
      <c r="K64" s="5"/>
    </row>
    <row r="65" spans="9:11">
      <c r="I65" s="5"/>
      <c r="K65" s="5"/>
    </row>
    <row r="66" spans="9:11">
      <c r="I66" s="5"/>
      <c r="K66" s="5"/>
    </row>
    <row r="67" spans="9:11">
      <c r="I67" s="5"/>
      <c r="K67" s="5"/>
    </row>
    <row r="68" spans="9:11">
      <c r="I68" s="5"/>
      <c r="K68" s="5"/>
    </row>
    <row r="69" spans="9:11">
      <c r="I69" s="5"/>
      <c r="K69" s="5"/>
    </row>
    <row r="70" spans="9:11">
      <c r="I70" s="5"/>
      <c r="K70" s="5"/>
    </row>
    <row r="71" spans="9:11">
      <c r="I71" s="5"/>
      <c r="K71" s="5"/>
    </row>
    <row r="72" spans="9:11">
      <c r="I72" s="5"/>
      <c r="K72" s="5"/>
    </row>
    <row r="73" spans="9:11">
      <c r="I73" s="5"/>
      <c r="K73" s="5"/>
    </row>
    <row r="74" spans="9:11">
      <c r="I74" s="5"/>
      <c r="K74" s="5"/>
    </row>
    <row r="75" spans="9:11">
      <c r="I75" s="5"/>
      <c r="K75" s="5"/>
    </row>
    <row r="76" spans="9:11">
      <c r="I76" s="5"/>
      <c r="K76" s="5"/>
    </row>
    <row r="77" spans="9:11">
      <c r="I77" s="5"/>
      <c r="K77" s="5"/>
    </row>
    <row r="78" spans="9:11">
      <c r="I78" s="5"/>
      <c r="K78" s="5"/>
    </row>
    <row r="79" spans="9:11">
      <c r="I79" s="5"/>
      <c r="K79" s="5"/>
    </row>
    <row r="80" spans="9:11">
      <c r="I80" s="5"/>
      <c r="K80" s="5"/>
    </row>
    <row r="81" spans="9:11">
      <c r="I81" s="5"/>
      <c r="K81" s="5"/>
    </row>
    <row r="82" spans="9:11">
      <c r="I82" s="5"/>
      <c r="K82" s="5"/>
    </row>
    <row r="83" spans="9:11">
      <c r="I83" s="5"/>
      <c r="K83" s="5"/>
    </row>
    <row r="84" spans="9:11">
      <c r="I84" s="5"/>
      <c r="K84" s="5"/>
    </row>
    <row r="85" spans="9:11">
      <c r="I85" s="5"/>
      <c r="K85" s="5"/>
    </row>
    <row r="86" spans="9:11">
      <c r="I86" s="5"/>
      <c r="K86" s="5"/>
    </row>
    <row r="87" spans="9:11">
      <c r="I87" s="5"/>
      <c r="K87" s="5"/>
    </row>
    <row r="88" spans="9:11">
      <c r="I88" s="5"/>
      <c r="K88" s="5"/>
    </row>
    <row r="89" spans="9:11">
      <c r="I89" s="5"/>
      <c r="K89" s="5"/>
    </row>
    <row r="90" spans="9:11">
      <c r="I90" s="5"/>
      <c r="K90" s="5"/>
    </row>
    <row r="91" spans="9:11">
      <c r="I91" s="5"/>
      <c r="K91" s="5"/>
    </row>
    <row r="92" spans="9:11">
      <c r="I92" s="5"/>
      <c r="K92" s="5"/>
    </row>
    <row r="93" spans="9:11">
      <c r="I93" s="5"/>
      <c r="K93" s="5"/>
    </row>
    <row r="94" spans="9:11">
      <c r="I94" s="5"/>
      <c r="K94" s="5"/>
    </row>
    <row r="95" spans="9:11">
      <c r="I95" s="5"/>
      <c r="K95" s="5"/>
    </row>
    <row r="96" spans="9:11">
      <c r="I96" s="5"/>
      <c r="K96" s="5"/>
    </row>
    <row r="97" spans="9:11">
      <c r="I97" s="5"/>
      <c r="K97" s="5"/>
    </row>
    <row r="98" spans="9:11">
      <c r="I98" s="5"/>
      <c r="K98" s="5"/>
    </row>
    <row r="99" spans="9:11">
      <c r="I99" s="5"/>
      <c r="K99" s="5"/>
    </row>
    <row r="100" spans="9:11">
      <c r="I100" s="5"/>
      <c r="K100" s="5"/>
    </row>
    <row r="101" spans="9:11">
      <c r="I101" s="5"/>
      <c r="K101" s="5"/>
    </row>
    <row r="102" spans="9:11">
      <c r="I102" s="5"/>
      <c r="K102" s="5"/>
    </row>
    <row r="103" spans="9:11">
      <c r="I103" s="5"/>
      <c r="K103" s="5"/>
    </row>
    <row r="104" spans="9:11">
      <c r="I104" s="5"/>
      <c r="K104" s="5"/>
    </row>
    <row r="105" spans="9:11">
      <c r="I105" s="5"/>
      <c r="K105" s="5"/>
    </row>
    <row r="106" spans="9:11">
      <c r="I106" s="5"/>
      <c r="K106" s="5"/>
    </row>
    <row r="107" spans="9:11">
      <c r="I107" s="5"/>
      <c r="K107" s="5"/>
    </row>
    <row r="108" spans="9:11">
      <c r="I108" s="5"/>
      <c r="K108" s="5"/>
    </row>
    <row r="109" spans="9:11">
      <c r="I109" s="5"/>
      <c r="K109" s="5"/>
    </row>
    <row r="110" spans="9:11">
      <c r="I110" s="5"/>
      <c r="K110" s="5"/>
    </row>
    <row r="111" spans="9:11">
      <c r="I111" s="5"/>
      <c r="K111" s="5"/>
    </row>
    <row r="112" spans="9:11">
      <c r="I112" s="5"/>
      <c r="K112" s="5"/>
    </row>
    <row r="113" spans="9:11">
      <c r="I113" s="5"/>
      <c r="K113" s="5"/>
    </row>
    <row r="114" spans="9:11">
      <c r="I114" s="5"/>
      <c r="K114" s="5"/>
    </row>
    <row r="115" spans="9:11">
      <c r="I115" s="5"/>
      <c r="K115" s="5"/>
    </row>
    <row r="116" spans="9:11">
      <c r="I116" s="5"/>
      <c r="K116" s="5"/>
    </row>
    <row r="117" spans="9:11">
      <c r="I117" s="5"/>
      <c r="K117" s="5"/>
    </row>
    <row r="118" spans="9:11">
      <c r="I118" s="5"/>
      <c r="K118" s="5"/>
    </row>
    <row r="119" spans="9:11">
      <c r="I119" s="5"/>
      <c r="K119" s="5"/>
    </row>
    <row r="120" spans="9:11">
      <c r="I120" s="5"/>
      <c r="K120" s="5"/>
    </row>
    <row r="121" spans="9:11">
      <c r="I121" s="5"/>
      <c r="K121" s="5"/>
    </row>
    <row r="122" spans="9:11">
      <c r="I122" s="5"/>
      <c r="K122" s="5"/>
    </row>
    <row r="123" spans="9:11">
      <c r="I123" s="5"/>
      <c r="K123" s="5"/>
    </row>
    <row r="124" spans="9:11">
      <c r="I124" s="5"/>
      <c r="K124" s="5"/>
    </row>
    <row r="125" spans="9:11">
      <c r="I125" s="5"/>
      <c r="K125" s="5"/>
    </row>
    <row r="126" spans="9:11">
      <c r="I126" s="5"/>
      <c r="K126" s="5"/>
    </row>
    <row r="127" spans="9:11">
      <c r="I127" s="5"/>
      <c r="K127" s="5"/>
    </row>
    <row r="128" spans="9:11">
      <c r="I128" s="5"/>
      <c r="K128" s="5"/>
    </row>
    <row r="129" spans="9:11">
      <c r="I129" s="5"/>
      <c r="K129" s="5"/>
    </row>
    <row r="130" spans="9:11">
      <c r="I130" s="5"/>
      <c r="K130" s="5"/>
    </row>
    <row r="131" spans="9:11">
      <c r="I131" s="5"/>
      <c r="K131" s="5"/>
    </row>
    <row r="132" spans="9:11">
      <c r="I132" s="5"/>
      <c r="K132" s="5"/>
    </row>
    <row r="133" spans="9:11">
      <c r="I133" s="5"/>
      <c r="K133" s="5"/>
    </row>
    <row r="134" spans="9:11">
      <c r="I134" s="5"/>
      <c r="K134" s="5"/>
    </row>
    <row r="135" spans="9:11">
      <c r="I135" s="5"/>
      <c r="K135" s="5"/>
    </row>
    <row r="136" spans="9:11">
      <c r="I136" s="5"/>
      <c r="K136" s="5"/>
    </row>
    <row r="137" spans="9:11">
      <c r="I137" s="5"/>
      <c r="K137" s="5"/>
    </row>
    <row r="138" spans="9:11">
      <c r="I138" s="5"/>
      <c r="K138" s="5"/>
    </row>
    <row r="139" spans="9:11">
      <c r="I139" s="5"/>
      <c r="K139" s="5"/>
    </row>
    <row r="140" spans="9:11">
      <c r="I140" s="5"/>
      <c r="K140" s="5"/>
    </row>
    <row r="141" spans="9:11">
      <c r="I141" s="5"/>
      <c r="K141" s="5"/>
    </row>
    <row r="142" spans="9:11">
      <c r="I142" s="5"/>
      <c r="K142" s="5"/>
    </row>
    <row r="143" spans="9:11">
      <c r="I143" s="5"/>
      <c r="K143" s="5"/>
    </row>
    <row r="144" spans="9:11">
      <c r="I144" s="5"/>
      <c r="K144" s="5"/>
    </row>
    <row r="145" spans="9:11">
      <c r="I145" s="5"/>
      <c r="K145" s="5"/>
    </row>
    <row r="146" spans="9:11">
      <c r="I146" s="5"/>
      <c r="K146" s="5"/>
    </row>
    <row r="147" spans="9:11">
      <c r="I147" s="5"/>
      <c r="K147" s="5"/>
    </row>
    <row r="148" spans="9:11">
      <c r="I148" s="5"/>
      <c r="K148" s="5"/>
    </row>
    <row r="149" spans="9:11">
      <c r="I149" s="5"/>
      <c r="K149" s="5"/>
    </row>
    <row r="150" spans="9:11">
      <c r="I150" s="5"/>
      <c r="K150" s="5"/>
    </row>
    <row r="151" spans="9:11">
      <c r="I151" s="5"/>
      <c r="K151" s="5"/>
    </row>
    <row r="152" spans="9:11">
      <c r="I152" s="5"/>
      <c r="K152" s="5"/>
    </row>
    <row r="153" spans="9:11">
      <c r="I153" s="5"/>
      <c r="K153" s="5"/>
    </row>
    <row r="154" spans="9:11">
      <c r="I154" s="5"/>
      <c r="K154" s="5"/>
    </row>
    <row r="155" spans="9:11">
      <c r="I155" s="5"/>
      <c r="K155" s="5"/>
    </row>
    <row r="156" spans="9:11">
      <c r="I156" s="5"/>
      <c r="K156" s="5"/>
    </row>
    <row r="157" spans="9:11">
      <c r="I157" s="5"/>
      <c r="K157" s="5"/>
    </row>
    <row r="158" spans="9:11">
      <c r="I158" s="5"/>
      <c r="K158" s="5"/>
    </row>
    <row r="159" spans="9:11">
      <c r="I159" s="5"/>
      <c r="K159" s="5"/>
    </row>
    <row r="160" spans="9:11">
      <c r="I160" s="5"/>
      <c r="K160" s="5"/>
    </row>
    <row r="161" spans="9:11">
      <c r="I161" s="5"/>
      <c r="K161" s="5"/>
    </row>
    <row r="162" spans="9:11">
      <c r="I162" s="5"/>
      <c r="K162" s="5"/>
    </row>
    <row r="163" spans="9:11">
      <c r="I163" s="5"/>
      <c r="K163" s="5"/>
    </row>
    <row r="164" spans="9:11">
      <c r="I164" s="5"/>
      <c r="K164" s="5"/>
    </row>
    <row r="165" spans="9:11">
      <c r="I165" s="5"/>
      <c r="K165" s="5"/>
    </row>
    <row r="166" spans="9:11">
      <c r="I166" s="5"/>
      <c r="K166" s="5"/>
    </row>
    <row r="167" spans="9:11">
      <c r="I167" s="5"/>
      <c r="K167" s="5"/>
    </row>
    <row r="168" spans="9:11">
      <c r="I168" s="5"/>
      <c r="K168" s="5"/>
    </row>
    <row r="169" spans="9:11">
      <c r="I169" s="5"/>
      <c r="K169" s="5"/>
    </row>
    <row r="170" spans="9:11">
      <c r="I170" s="5"/>
      <c r="K170" s="5"/>
    </row>
    <row r="171" spans="9:11">
      <c r="I171" s="5"/>
      <c r="K171" s="5"/>
    </row>
    <row r="172" spans="9:11">
      <c r="I172" s="5"/>
      <c r="K172" s="5"/>
    </row>
    <row r="173" spans="9:11">
      <c r="I173" s="5"/>
      <c r="K173" s="5"/>
    </row>
    <row r="174" spans="9:11">
      <c r="I174" s="5"/>
      <c r="K174" s="5"/>
    </row>
    <row r="175" spans="9:11">
      <c r="I175" s="5"/>
      <c r="K175" s="5"/>
    </row>
    <row r="176" spans="9:11">
      <c r="I176" s="5"/>
      <c r="K176" s="5"/>
    </row>
    <row r="177" spans="9:11">
      <c r="I177" s="5"/>
      <c r="K177" s="5"/>
    </row>
    <row r="178" spans="9:11">
      <c r="I178" s="5"/>
      <c r="K178" s="5"/>
    </row>
    <row r="179" spans="9:11">
      <c r="I179" s="5"/>
      <c r="K179" s="5"/>
    </row>
    <row r="180" spans="9:11">
      <c r="I180" s="5"/>
      <c r="K180" s="5"/>
    </row>
    <row r="181" spans="9:11">
      <c r="I181" s="5"/>
      <c r="K181" s="5"/>
    </row>
    <row r="182" spans="9:11">
      <c r="I182" s="5"/>
      <c r="K182" s="5"/>
    </row>
    <row r="183" spans="9:11">
      <c r="I183" s="5"/>
      <c r="K183" s="5"/>
    </row>
    <row r="184" spans="9:11">
      <c r="I184" s="5"/>
      <c r="K184" s="5"/>
    </row>
    <row r="185" spans="9:11">
      <c r="I185" s="5"/>
      <c r="K185" s="5"/>
    </row>
    <row r="186" spans="9:11">
      <c r="I186" s="5"/>
      <c r="K186" s="5"/>
    </row>
    <row r="187" spans="9:11">
      <c r="I187" s="5"/>
      <c r="K187" s="5"/>
    </row>
    <row r="188" spans="9:11">
      <c r="I188" s="5"/>
      <c r="K188" s="5"/>
    </row>
    <row r="189" spans="9:11">
      <c r="I189" s="5"/>
      <c r="K189" s="5"/>
    </row>
    <row r="190" spans="9:11">
      <c r="I190" s="5"/>
      <c r="K190" s="5"/>
    </row>
    <row r="191" spans="9:11">
      <c r="I191" s="5"/>
      <c r="K191" s="5"/>
    </row>
    <row r="192" spans="9:11">
      <c r="I192" s="5"/>
      <c r="K192" s="5"/>
    </row>
    <row r="193" spans="9:11">
      <c r="I193" s="5"/>
      <c r="K193" s="5"/>
    </row>
    <row r="194" spans="9:11">
      <c r="I194" s="5"/>
      <c r="K194" s="5"/>
    </row>
    <row r="195" spans="9:11">
      <c r="I195" s="5"/>
      <c r="K195" s="5"/>
    </row>
    <row r="196" spans="9:11">
      <c r="I196" s="5"/>
      <c r="K196" s="5"/>
    </row>
    <row r="197" spans="9:11">
      <c r="I197" s="5"/>
      <c r="K197" s="5"/>
    </row>
    <row r="198" spans="9:11">
      <c r="I198" s="5"/>
      <c r="K198" s="5"/>
    </row>
    <row r="199" spans="9:11">
      <c r="I199" s="5"/>
      <c r="K199" s="5"/>
    </row>
    <row r="200" spans="9:11">
      <c r="I200" s="5"/>
      <c r="K200" s="5"/>
    </row>
  </sheetData>
  <mergeCells count="2">
    <mergeCell ref="A1:N1"/>
    <mergeCell ref="A2:N2"/>
  </mergeCells>
  <hyperlinks>
    <hyperlink ref="N5" r:id="rId1" xr:uid="{A4362D32-992F-4DF2-B7E0-CC6242AD5132}"/>
  </hyperlinks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0"/>
  <sheetViews>
    <sheetView workbookViewId="0">
      <selection activeCell="C25" sqref="C25"/>
    </sheetView>
  </sheetViews>
  <sheetFormatPr defaultRowHeight="14.25"/>
  <cols>
    <col min="1" max="1" width="14" customWidth="1"/>
    <col min="2" max="2" width="26" customWidth="1"/>
    <col min="3" max="3" width="16" customWidth="1"/>
    <col min="4" max="4" width="20" customWidth="1"/>
    <col min="5" max="5" width="24" customWidth="1"/>
    <col min="6" max="6" width="20" customWidth="1"/>
    <col min="7" max="7" width="38" customWidth="1"/>
    <col min="8" max="8" width="32" customWidth="1"/>
    <col min="9" max="9" width="14" customWidth="1"/>
    <col min="10" max="10" width="8" style="12" customWidth="1"/>
    <col min="11" max="11" width="14" customWidth="1"/>
    <col min="12" max="12" width="38" customWidth="1"/>
    <col min="13" max="13" width="42" customWidth="1"/>
    <col min="14" max="14" width="55" customWidth="1"/>
  </cols>
  <sheetData>
    <row r="1" spans="1:14" ht="18">
      <c r="A1" s="7" t="s">
        <v>419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28.5">
      <c r="A5" s="3" t="s">
        <v>16</v>
      </c>
      <c r="B5" s="3" t="s">
        <v>420</v>
      </c>
      <c r="C5" s="3" t="s">
        <v>36</v>
      </c>
      <c r="D5" s="3" t="s">
        <v>421</v>
      </c>
      <c r="E5" s="3" t="s">
        <v>422</v>
      </c>
      <c r="F5" s="3" t="s">
        <v>423</v>
      </c>
      <c r="G5" s="3" t="s">
        <v>424</v>
      </c>
      <c r="H5" s="3" t="s">
        <v>425</v>
      </c>
      <c r="I5" s="4">
        <v>13</v>
      </c>
      <c r="J5" s="10">
        <v>1</v>
      </c>
      <c r="K5" s="4">
        <f t="shared" ref="K5:K12" si="0">IF(ISNUMBER(I5),I5*J5,"")</f>
        <v>13</v>
      </c>
      <c r="L5" s="3" t="s">
        <v>426</v>
      </c>
      <c r="M5" s="3" t="s">
        <v>427</v>
      </c>
      <c r="N5" s="3" t="s">
        <v>428</v>
      </c>
    </row>
    <row r="6" spans="1:14" ht="28.5">
      <c r="A6" s="3" t="s">
        <v>16</v>
      </c>
      <c r="B6" s="3" t="s">
        <v>429</v>
      </c>
      <c r="C6" s="3" t="s">
        <v>36</v>
      </c>
      <c r="D6" s="3" t="s">
        <v>430</v>
      </c>
      <c r="E6" s="3" t="s">
        <v>422</v>
      </c>
      <c r="F6" s="3" t="s">
        <v>375</v>
      </c>
      <c r="G6" s="3" t="s">
        <v>431</v>
      </c>
      <c r="H6" s="3" t="s">
        <v>432</v>
      </c>
      <c r="I6" s="4">
        <v>22</v>
      </c>
      <c r="J6" s="10">
        <v>1</v>
      </c>
      <c r="K6" s="4">
        <f t="shared" si="0"/>
        <v>22</v>
      </c>
      <c r="L6" s="3" t="s">
        <v>433</v>
      </c>
      <c r="M6" s="3" t="s">
        <v>434</v>
      </c>
      <c r="N6" s="3" t="s">
        <v>435</v>
      </c>
    </row>
    <row r="7" spans="1:14" ht="28.5">
      <c r="A7" s="3" t="s">
        <v>16</v>
      </c>
      <c r="B7" s="3" t="s">
        <v>436</v>
      </c>
      <c r="C7" s="3" t="s">
        <v>36</v>
      </c>
      <c r="D7" s="3" t="s">
        <v>437</v>
      </c>
      <c r="E7" s="3" t="s">
        <v>422</v>
      </c>
      <c r="F7" s="3" t="s">
        <v>375</v>
      </c>
      <c r="G7" s="3" t="s">
        <v>438</v>
      </c>
      <c r="H7" s="3" t="s">
        <v>439</v>
      </c>
      <c r="I7" s="4">
        <v>30</v>
      </c>
      <c r="J7" s="10">
        <v>1</v>
      </c>
      <c r="K7" s="4">
        <f t="shared" si="0"/>
        <v>30</v>
      </c>
      <c r="L7" s="3" t="s">
        <v>440</v>
      </c>
      <c r="M7" s="3" t="s">
        <v>441</v>
      </c>
      <c r="N7" s="3" t="s">
        <v>442</v>
      </c>
    </row>
    <row r="8" spans="1:14" ht="28.5">
      <c r="A8" s="3" t="s">
        <v>89</v>
      </c>
      <c r="B8" s="3" t="s">
        <v>443</v>
      </c>
      <c r="C8" s="3" t="s">
        <v>267</v>
      </c>
      <c r="D8" s="3" t="s">
        <v>444</v>
      </c>
      <c r="E8" s="3" t="s">
        <v>422</v>
      </c>
      <c r="F8" s="3" t="s">
        <v>445</v>
      </c>
      <c r="G8" s="3" t="s">
        <v>446</v>
      </c>
      <c r="H8" s="3" t="s">
        <v>447</v>
      </c>
      <c r="I8" s="4">
        <v>35</v>
      </c>
      <c r="J8" s="10">
        <v>1</v>
      </c>
      <c r="K8" s="4">
        <f t="shared" si="0"/>
        <v>35</v>
      </c>
      <c r="L8" s="3" t="s">
        <v>448</v>
      </c>
      <c r="M8" s="3" t="s">
        <v>449</v>
      </c>
      <c r="N8" s="3" t="s">
        <v>450</v>
      </c>
    </row>
    <row r="9" spans="1:14" ht="42.75">
      <c r="A9" s="3" t="s">
        <v>144</v>
      </c>
      <c r="B9" s="3" t="s">
        <v>451</v>
      </c>
      <c r="C9" s="3" t="s">
        <v>452</v>
      </c>
      <c r="D9" s="3" t="s">
        <v>453</v>
      </c>
      <c r="E9" s="3" t="s">
        <v>454</v>
      </c>
      <c r="F9" s="3" t="s">
        <v>455</v>
      </c>
      <c r="G9" s="3" t="s">
        <v>456</v>
      </c>
      <c r="H9" s="3" t="s">
        <v>457</v>
      </c>
      <c r="I9" s="4">
        <v>65</v>
      </c>
      <c r="J9" s="10">
        <v>1</v>
      </c>
      <c r="K9" s="4">
        <f t="shared" si="0"/>
        <v>65</v>
      </c>
      <c r="L9" s="3" t="s">
        <v>458</v>
      </c>
      <c r="M9" s="3" t="s">
        <v>459</v>
      </c>
      <c r="N9" s="3" t="s">
        <v>460</v>
      </c>
    </row>
    <row r="10" spans="1:14" ht="28.5">
      <c r="A10" s="3" t="s">
        <v>144</v>
      </c>
      <c r="B10" s="3" t="s">
        <v>461</v>
      </c>
      <c r="C10" s="3" t="s">
        <v>267</v>
      </c>
      <c r="D10" s="3" t="s">
        <v>462</v>
      </c>
      <c r="E10" s="3" t="s">
        <v>422</v>
      </c>
      <c r="F10" s="3" t="s">
        <v>463</v>
      </c>
      <c r="G10" s="3" t="s">
        <v>464</v>
      </c>
      <c r="H10" s="3" t="s">
        <v>465</v>
      </c>
      <c r="I10" s="4">
        <v>70</v>
      </c>
      <c r="J10" s="10">
        <v>1</v>
      </c>
      <c r="K10" s="4">
        <f t="shared" si="0"/>
        <v>70</v>
      </c>
      <c r="L10" s="3" t="s">
        <v>466</v>
      </c>
      <c r="M10" s="3" t="s">
        <v>467</v>
      </c>
      <c r="N10" s="3" t="s">
        <v>468</v>
      </c>
    </row>
    <row r="11" spans="1:14" ht="42.75">
      <c r="A11" s="3" t="s">
        <v>161</v>
      </c>
      <c r="B11" s="3" t="s">
        <v>469</v>
      </c>
      <c r="C11" s="3" t="s">
        <v>36</v>
      </c>
      <c r="D11" s="3" t="s">
        <v>470</v>
      </c>
      <c r="E11" s="3" t="s">
        <v>422</v>
      </c>
      <c r="F11" s="3" t="s">
        <v>471</v>
      </c>
      <c r="G11" s="3" t="s">
        <v>472</v>
      </c>
      <c r="H11" s="3" t="s">
        <v>473</v>
      </c>
      <c r="I11" s="4">
        <v>65</v>
      </c>
      <c r="J11" s="10">
        <v>1</v>
      </c>
      <c r="K11" s="4">
        <f t="shared" si="0"/>
        <v>65</v>
      </c>
      <c r="L11" s="3" t="s">
        <v>474</v>
      </c>
      <c r="M11" s="3" t="s">
        <v>475</v>
      </c>
      <c r="N11" s="3" t="s">
        <v>476</v>
      </c>
    </row>
    <row r="12" spans="1:14">
      <c r="I12" s="5"/>
      <c r="K12" s="5" t="str">
        <f t="shared" si="0"/>
        <v/>
      </c>
    </row>
    <row r="13" spans="1:14">
      <c r="I13" s="5"/>
      <c r="K13" s="5"/>
    </row>
    <row r="14" spans="1:14">
      <c r="I14" s="5"/>
      <c r="K14" s="5"/>
    </row>
    <row r="15" spans="1:14">
      <c r="I15" s="5"/>
      <c r="K15" s="5"/>
    </row>
    <row r="16" spans="1:14">
      <c r="I16" s="5"/>
      <c r="K16" s="5"/>
    </row>
    <row r="17" spans="9:11">
      <c r="I17" s="5"/>
      <c r="K17" s="5"/>
    </row>
    <row r="18" spans="9:11">
      <c r="I18" s="5"/>
      <c r="K18" s="5"/>
    </row>
    <row r="19" spans="9:11">
      <c r="I19" s="5"/>
      <c r="K19" s="5"/>
    </row>
    <row r="20" spans="9:11">
      <c r="I20" s="5"/>
      <c r="K20" s="5"/>
    </row>
    <row r="21" spans="9:11">
      <c r="I21" s="5"/>
      <c r="K21" s="5"/>
    </row>
    <row r="22" spans="9:11">
      <c r="I22" s="5"/>
      <c r="K22" s="5"/>
    </row>
    <row r="23" spans="9:11">
      <c r="I23" s="5"/>
      <c r="K23" s="5"/>
    </row>
    <row r="24" spans="9:11">
      <c r="I24" s="5"/>
      <c r="K24" s="5"/>
    </row>
    <row r="25" spans="9:11">
      <c r="I25" s="5"/>
      <c r="K25" s="5"/>
    </row>
    <row r="26" spans="9:11">
      <c r="I26" s="5"/>
      <c r="K26" s="5"/>
    </row>
    <row r="27" spans="9:11">
      <c r="I27" s="5"/>
      <c r="K27" s="5"/>
    </row>
    <row r="28" spans="9:11">
      <c r="I28" s="5"/>
      <c r="K28" s="5"/>
    </row>
    <row r="29" spans="9:11">
      <c r="I29" s="5"/>
      <c r="K29" s="5"/>
    </row>
    <row r="30" spans="9:11">
      <c r="I30" s="5"/>
      <c r="K30" s="5"/>
    </row>
    <row r="31" spans="9:11">
      <c r="I31" s="5"/>
      <c r="K31" s="5"/>
    </row>
    <row r="32" spans="9:11">
      <c r="I32" s="5"/>
      <c r="K32" s="5"/>
    </row>
    <row r="33" spans="9:11">
      <c r="I33" s="5"/>
      <c r="K33" s="5"/>
    </row>
    <row r="34" spans="9:11">
      <c r="I34" s="5"/>
      <c r="K34" s="5"/>
    </row>
    <row r="35" spans="9:11">
      <c r="I35" s="5"/>
      <c r="K35" s="5"/>
    </row>
    <row r="36" spans="9:11">
      <c r="I36" s="5"/>
      <c r="K36" s="5"/>
    </row>
    <row r="37" spans="9:11">
      <c r="I37" s="5"/>
      <c r="K37" s="5"/>
    </row>
    <row r="38" spans="9:11">
      <c r="I38" s="5"/>
      <c r="K38" s="5"/>
    </row>
    <row r="39" spans="9:11">
      <c r="I39" s="5"/>
      <c r="K39" s="5"/>
    </row>
    <row r="40" spans="9:11">
      <c r="I40" s="5"/>
      <c r="K40" s="5"/>
    </row>
    <row r="41" spans="9:11">
      <c r="I41" s="5"/>
      <c r="K41" s="5"/>
    </row>
    <row r="42" spans="9:11">
      <c r="I42" s="5"/>
      <c r="K42" s="5"/>
    </row>
    <row r="43" spans="9:11">
      <c r="I43" s="5"/>
      <c r="K43" s="5"/>
    </row>
    <row r="44" spans="9:11">
      <c r="I44" s="5"/>
      <c r="K44" s="5"/>
    </row>
    <row r="45" spans="9:11">
      <c r="I45" s="5"/>
      <c r="K45" s="5"/>
    </row>
    <row r="46" spans="9:11">
      <c r="I46" s="5"/>
      <c r="K46" s="5"/>
    </row>
    <row r="47" spans="9:11">
      <c r="I47" s="5"/>
      <c r="K47" s="5"/>
    </row>
    <row r="48" spans="9:11">
      <c r="I48" s="5"/>
      <c r="K48" s="5"/>
    </row>
    <row r="49" spans="9:11">
      <c r="I49" s="5"/>
      <c r="K49" s="5"/>
    </row>
    <row r="50" spans="9:11">
      <c r="I50" s="5"/>
      <c r="K50" s="5"/>
    </row>
    <row r="51" spans="9:11">
      <c r="I51" s="5"/>
      <c r="K51" s="5"/>
    </row>
    <row r="52" spans="9:11">
      <c r="I52" s="5"/>
      <c r="K52" s="5"/>
    </row>
    <row r="53" spans="9:11">
      <c r="I53" s="5"/>
      <c r="K53" s="5"/>
    </row>
    <row r="54" spans="9:11">
      <c r="I54" s="5"/>
      <c r="K54" s="5"/>
    </row>
    <row r="55" spans="9:11">
      <c r="I55" s="5"/>
      <c r="K55" s="5"/>
    </row>
    <row r="56" spans="9:11">
      <c r="I56" s="5"/>
      <c r="K56" s="5"/>
    </row>
    <row r="57" spans="9:11">
      <c r="I57" s="5"/>
      <c r="K57" s="5"/>
    </row>
    <row r="58" spans="9:11">
      <c r="I58" s="5"/>
      <c r="K58" s="5"/>
    </row>
    <row r="59" spans="9:11">
      <c r="I59" s="5"/>
      <c r="K59" s="5"/>
    </row>
    <row r="60" spans="9:11">
      <c r="I60" s="5"/>
      <c r="K60" s="5"/>
    </row>
    <row r="61" spans="9:11">
      <c r="I61" s="5"/>
      <c r="K61" s="5"/>
    </row>
    <row r="62" spans="9:11">
      <c r="I62" s="5"/>
      <c r="K62" s="5"/>
    </row>
    <row r="63" spans="9:11">
      <c r="I63" s="5"/>
      <c r="K63" s="5"/>
    </row>
    <row r="64" spans="9:11">
      <c r="I64" s="5"/>
      <c r="K64" s="5"/>
    </row>
    <row r="65" spans="9:11">
      <c r="I65" s="5"/>
      <c r="K65" s="5"/>
    </row>
    <row r="66" spans="9:11">
      <c r="I66" s="5"/>
      <c r="K66" s="5"/>
    </row>
    <row r="67" spans="9:11">
      <c r="I67" s="5"/>
      <c r="K67" s="5"/>
    </row>
    <row r="68" spans="9:11">
      <c r="I68" s="5"/>
      <c r="K68" s="5"/>
    </row>
    <row r="69" spans="9:11">
      <c r="I69" s="5"/>
      <c r="K69" s="5"/>
    </row>
    <row r="70" spans="9:11">
      <c r="I70" s="5"/>
      <c r="K70" s="5"/>
    </row>
    <row r="71" spans="9:11">
      <c r="I71" s="5"/>
      <c r="K71" s="5"/>
    </row>
    <row r="72" spans="9:11">
      <c r="I72" s="5"/>
      <c r="K72" s="5"/>
    </row>
    <row r="73" spans="9:11">
      <c r="I73" s="5"/>
      <c r="K73" s="5"/>
    </row>
    <row r="74" spans="9:11">
      <c r="I74" s="5"/>
      <c r="K74" s="5"/>
    </row>
    <row r="75" spans="9:11">
      <c r="I75" s="5"/>
      <c r="K75" s="5"/>
    </row>
    <row r="76" spans="9:11">
      <c r="I76" s="5"/>
      <c r="K76" s="5"/>
    </row>
    <row r="77" spans="9:11">
      <c r="I77" s="5"/>
      <c r="K77" s="5"/>
    </row>
    <row r="78" spans="9:11">
      <c r="I78" s="5"/>
      <c r="K78" s="5"/>
    </row>
    <row r="79" spans="9:11">
      <c r="I79" s="5"/>
      <c r="K79" s="5"/>
    </row>
    <row r="80" spans="9:11">
      <c r="I80" s="5"/>
      <c r="K80" s="5"/>
    </row>
    <row r="81" spans="9:11">
      <c r="I81" s="5"/>
      <c r="K81" s="5"/>
    </row>
    <row r="82" spans="9:11">
      <c r="I82" s="5"/>
      <c r="K82" s="5"/>
    </row>
    <row r="83" spans="9:11">
      <c r="I83" s="5"/>
      <c r="K83" s="5"/>
    </row>
    <row r="84" spans="9:11">
      <c r="I84" s="5"/>
      <c r="K84" s="5"/>
    </row>
    <row r="85" spans="9:11">
      <c r="I85" s="5"/>
      <c r="K85" s="5"/>
    </row>
    <row r="86" spans="9:11">
      <c r="I86" s="5"/>
      <c r="K86" s="5"/>
    </row>
    <row r="87" spans="9:11">
      <c r="I87" s="5"/>
      <c r="K87" s="5"/>
    </row>
    <row r="88" spans="9:11">
      <c r="I88" s="5"/>
      <c r="K88" s="5"/>
    </row>
    <row r="89" spans="9:11">
      <c r="I89" s="5"/>
      <c r="K89" s="5"/>
    </row>
    <row r="90" spans="9:11">
      <c r="I90" s="5"/>
      <c r="K90" s="5"/>
    </row>
    <row r="91" spans="9:11">
      <c r="I91" s="5"/>
      <c r="K91" s="5"/>
    </row>
    <row r="92" spans="9:11">
      <c r="I92" s="5"/>
      <c r="K92" s="5"/>
    </row>
    <row r="93" spans="9:11">
      <c r="I93" s="5"/>
      <c r="K93" s="5"/>
    </row>
    <row r="94" spans="9:11">
      <c r="I94" s="5"/>
      <c r="K94" s="5"/>
    </row>
    <row r="95" spans="9:11">
      <c r="I95" s="5"/>
      <c r="K95" s="5"/>
    </row>
    <row r="96" spans="9:11">
      <c r="I96" s="5"/>
      <c r="K96" s="5"/>
    </row>
    <row r="97" spans="9:11">
      <c r="I97" s="5"/>
      <c r="K97" s="5"/>
    </row>
    <row r="98" spans="9:11">
      <c r="I98" s="5"/>
      <c r="K98" s="5"/>
    </row>
    <row r="99" spans="9:11">
      <c r="I99" s="5"/>
      <c r="K99" s="5"/>
    </row>
    <row r="100" spans="9:11">
      <c r="I100" s="5"/>
      <c r="K100" s="5"/>
    </row>
    <row r="101" spans="9:11">
      <c r="I101" s="5"/>
      <c r="K101" s="5"/>
    </row>
    <row r="102" spans="9:11">
      <c r="I102" s="5"/>
      <c r="K102" s="5"/>
    </row>
    <row r="103" spans="9:11">
      <c r="I103" s="5"/>
      <c r="K103" s="5"/>
    </row>
    <row r="104" spans="9:11">
      <c r="I104" s="5"/>
      <c r="K104" s="5"/>
    </row>
    <row r="105" spans="9:11">
      <c r="I105" s="5"/>
      <c r="K105" s="5"/>
    </row>
    <row r="106" spans="9:11">
      <c r="I106" s="5"/>
      <c r="K106" s="5"/>
    </row>
    <row r="107" spans="9:11">
      <c r="I107" s="5"/>
      <c r="K107" s="5"/>
    </row>
    <row r="108" spans="9:11">
      <c r="I108" s="5"/>
      <c r="K108" s="5"/>
    </row>
    <row r="109" spans="9:11">
      <c r="I109" s="5"/>
      <c r="K109" s="5"/>
    </row>
    <row r="110" spans="9:11">
      <c r="I110" s="5"/>
      <c r="K110" s="5"/>
    </row>
    <row r="111" spans="9:11">
      <c r="I111" s="5"/>
      <c r="K111" s="5"/>
    </row>
    <row r="112" spans="9:11">
      <c r="I112" s="5"/>
      <c r="K112" s="5"/>
    </row>
    <row r="113" spans="9:11">
      <c r="I113" s="5"/>
      <c r="K113" s="5"/>
    </row>
    <row r="114" spans="9:11">
      <c r="I114" s="5"/>
      <c r="K114" s="5"/>
    </row>
    <row r="115" spans="9:11">
      <c r="I115" s="5"/>
      <c r="K115" s="5"/>
    </row>
    <row r="116" spans="9:11">
      <c r="I116" s="5"/>
      <c r="K116" s="5"/>
    </row>
    <row r="117" spans="9:11">
      <c r="I117" s="5"/>
      <c r="K117" s="5"/>
    </row>
    <row r="118" spans="9:11">
      <c r="I118" s="5"/>
      <c r="K118" s="5"/>
    </row>
    <row r="119" spans="9:11">
      <c r="I119" s="5"/>
      <c r="K119" s="5"/>
    </row>
    <row r="120" spans="9:11">
      <c r="I120" s="5"/>
      <c r="K120" s="5"/>
    </row>
    <row r="121" spans="9:11">
      <c r="I121" s="5"/>
      <c r="K121" s="5"/>
    </row>
    <row r="122" spans="9:11">
      <c r="I122" s="5"/>
      <c r="K122" s="5"/>
    </row>
    <row r="123" spans="9:11">
      <c r="I123" s="5"/>
      <c r="K123" s="5"/>
    </row>
    <row r="124" spans="9:11">
      <c r="I124" s="5"/>
      <c r="K124" s="5"/>
    </row>
    <row r="125" spans="9:11">
      <c r="I125" s="5"/>
      <c r="K125" s="5"/>
    </row>
    <row r="126" spans="9:11">
      <c r="I126" s="5"/>
      <c r="K126" s="5"/>
    </row>
    <row r="127" spans="9:11">
      <c r="I127" s="5"/>
      <c r="K127" s="5"/>
    </row>
    <row r="128" spans="9:11">
      <c r="I128" s="5"/>
      <c r="K128" s="5"/>
    </row>
    <row r="129" spans="9:11">
      <c r="I129" s="5"/>
      <c r="K129" s="5"/>
    </row>
    <row r="130" spans="9:11">
      <c r="I130" s="5"/>
      <c r="K130" s="5"/>
    </row>
    <row r="131" spans="9:11">
      <c r="I131" s="5"/>
      <c r="K131" s="5"/>
    </row>
    <row r="132" spans="9:11">
      <c r="I132" s="5"/>
      <c r="K132" s="5"/>
    </row>
    <row r="133" spans="9:11">
      <c r="I133" s="5"/>
      <c r="K133" s="5"/>
    </row>
    <row r="134" spans="9:11">
      <c r="I134" s="5"/>
      <c r="K134" s="5"/>
    </row>
    <row r="135" spans="9:11">
      <c r="I135" s="5"/>
      <c r="K135" s="5"/>
    </row>
    <row r="136" spans="9:11">
      <c r="I136" s="5"/>
      <c r="K136" s="5"/>
    </row>
    <row r="137" spans="9:11">
      <c r="I137" s="5"/>
      <c r="K137" s="5"/>
    </row>
    <row r="138" spans="9:11">
      <c r="I138" s="5"/>
      <c r="K138" s="5"/>
    </row>
    <row r="139" spans="9:11">
      <c r="I139" s="5"/>
      <c r="K139" s="5"/>
    </row>
    <row r="140" spans="9:11">
      <c r="I140" s="5"/>
      <c r="K140" s="5"/>
    </row>
    <row r="141" spans="9:11">
      <c r="I141" s="5"/>
      <c r="K141" s="5"/>
    </row>
    <row r="142" spans="9:11">
      <c r="I142" s="5"/>
      <c r="K142" s="5"/>
    </row>
    <row r="143" spans="9:11">
      <c r="I143" s="5"/>
      <c r="K143" s="5"/>
    </row>
    <row r="144" spans="9:11">
      <c r="I144" s="5"/>
      <c r="K144" s="5"/>
    </row>
    <row r="145" spans="9:11">
      <c r="I145" s="5"/>
      <c r="K145" s="5"/>
    </row>
    <row r="146" spans="9:11">
      <c r="I146" s="5"/>
      <c r="K146" s="5"/>
    </row>
    <row r="147" spans="9:11">
      <c r="I147" s="5"/>
      <c r="K147" s="5"/>
    </row>
    <row r="148" spans="9:11">
      <c r="I148" s="5"/>
      <c r="K148" s="5"/>
    </row>
    <row r="149" spans="9:11">
      <c r="I149" s="5"/>
      <c r="K149" s="5"/>
    </row>
    <row r="150" spans="9:11">
      <c r="I150" s="5"/>
      <c r="K150" s="5"/>
    </row>
    <row r="151" spans="9:11">
      <c r="I151" s="5"/>
      <c r="K151" s="5"/>
    </row>
    <row r="152" spans="9:11">
      <c r="I152" s="5"/>
      <c r="K152" s="5"/>
    </row>
    <row r="153" spans="9:11">
      <c r="I153" s="5"/>
      <c r="K153" s="5"/>
    </row>
    <row r="154" spans="9:11">
      <c r="I154" s="5"/>
      <c r="K154" s="5"/>
    </row>
    <row r="155" spans="9:11">
      <c r="I155" s="5"/>
      <c r="K155" s="5"/>
    </row>
    <row r="156" spans="9:11">
      <c r="I156" s="5"/>
      <c r="K156" s="5"/>
    </row>
    <row r="157" spans="9:11">
      <c r="I157" s="5"/>
      <c r="K157" s="5"/>
    </row>
    <row r="158" spans="9:11">
      <c r="I158" s="5"/>
      <c r="K158" s="5"/>
    </row>
    <row r="159" spans="9:11">
      <c r="I159" s="5"/>
      <c r="K159" s="5"/>
    </row>
    <row r="160" spans="9:11">
      <c r="I160" s="5"/>
      <c r="K160" s="5"/>
    </row>
    <row r="161" spans="9:11">
      <c r="I161" s="5"/>
      <c r="K161" s="5"/>
    </row>
    <row r="162" spans="9:11">
      <c r="I162" s="5"/>
      <c r="K162" s="5"/>
    </row>
    <row r="163" spans="9:11">
      <c r="I163" s="5"/>
      <c r="K163" s="5"/>
    </row>
    <row r="164" spans="9:11">
      <c r="I164" s="5"/>
      <c r="K164" s="5"/>
    </row>
    <row r="165" spans="9:11">
      <c r="I165" s="5"/>
      <c r="K165" s="5"/>
    </row>
    <row r="166" spans="9:11">
      <c r="I166" s="5"/>
      <c r="K166" s="5"/>
    </row>
    <row r="167" spans="9:11">
      <c r="I167" s="5"/>
      <c r="K167" s="5"/>
    </row>
    <row r="168" spans="9:11">
      <c r="I168" s="5"/>
      <c r="K168" s="5"/>
    </row>
    <row r="169" spans="9:11">
      <c r="I169" s="5"/>
      <c r="K169" s="5"/>
    </row>
    <row r="170" spans="9:11">
      <c r="I170" s="5"/>
      <c r="K170" s="5"/>
    </row>
    <row r="171" spans="9:11">
      <c r="I171" s="5"/>
      <c r="K171" s="5"/>
    </row>
    <row r="172" spans="9:11">
      <c r="I172" s="5"/>
      <c r="K172" s="5"/>
    </row>
    <row r="173" spans="9:11">
      <c r="I173" s="5"/>
      <c r="K173" s="5"/>
    </row>
    <row r="174" spans="9:11">
      <c r="I174" s="5"/>
      <c r="K174" s="5"/>
    </row>
    <row r="175" spans="9:11">
      <c r="I175" s="5"/>
      <c r="K175" s="5"/>
    </row>
    <row r="176" spans="9:11">
      <c r="I176" s="5"/>
      <c r="K176" s="5"/>
    </row>
    <row r="177" spans="9:11">
      <c r="I177" s="5"/>
      <c r="K177" s="5"/>
    </row>
    <row r="178" spans="9:11">
      <c r="I178" s="5"/>
      <c r="K178" s="5"/>
    </row>
    <row r="179" spans="9:11">
      <c r="I179" s="5"/>
      <c r="K179" s="5"/>
    </row>
    <row r="180" spans="9:11">
      <c r="I180" s="5"/>
      <c r="K180" s="5"/>
    </row>
    <row r="181" spans="9:11">
      <c r="I181" s="5"/>
      <c r="K181" s="5"/>
    </row>
    <row r="182" spans="9:11">
      <c r="I182" s="5"/>
      <c r="K182" s="5"/>
    </row>
    <row r="183" spans="9:11">
      <c r="I183" s="5"/>
      <c r="K183" s="5"/>
    </row>
    <row r="184" spans="9:11">
      <c r="I184" s="5"/>
      <c r="K184" s="5"/>
    </row>
    <row r="185" spans="9:11">
      <c r="I185" s="5"/>
      <c r="K185" s="5"/>
    </row>
    <row r="186" spans="9:11">
      <c r="I186" s="5"/>
      <c r="K186" s="5"/>
    </row>
    <row r="187" spans="9:11">
      <c r="I187" s="5"/>
      <c r="K187" s="5"/>
    </row>
    <row r="188" spans="9:11">
      <c r="I188" s="5"/>
      <c r="K188" s="5"/>
    </row>
    <row r="189" spans="9:11">
      <c r="I189" s="5"/>
      <c r="K189" s="5"/>
    </row>
    <row r="190" spans="9:11">
      <c r="I190" s="5"/>
      <c r="K190" s="5"/>
    </row>
    <row r="191" spans="9:11">
      <c r="I191" s="5"/>
      <c r="K191" s="5"/>
    </row>
    <row r="192" spans="9:11">
      <c r="I192" s="5"/>
      <c r="K192" s="5"/>
    </row>
    <row r="193" spans="9:11">
      <c r="I193" s="5"/>
      <c r="K193" s="5"/>
    </row>
    <row r="194" spans="9:11">
      <c r="I194" s="5"/>
      <c r="K194" s="5"/>
    </row>
    <row r="195" spans="9:11">
      <c r="I195" s="5"/>
      <c r="K195" s="5"/>
    </row>
    <row r="196" spans="9:11">
      <c r="I196" s="5"/>
      <c r="K196" s="5"/>
    </row>
    <row r="197" spans="9:11">
      <c r="I197" s="5"/>
      <c r="K197" s="5"/>
    </row>
    <row r="198" spans="9:11">
      <c r="I198" s="5"/>
      <c r="K198" s="5"/>
    </row>
    <row r="199" spans="9:11">
      <c r="I199" s="5"/>
      <c r="K199" s="5"/>
    </row>
    <row r="200" spans="9:11">
      <c r="I200" s="5"/>
      <c r="K200" s="5"/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200"/>
  <sheetViews>
    <sheetView topLeftCell="G1" zoomScaleNormal="100" workbookViewId="0">
      <selection activeCell="N6" sqref="N6"/>
    </sheetView>
  </sheetViews>
  <sheetFormatPr defaultRowHeight="14.25"/>
  <cols>
    <col min="1" max="1" width="14" customWidth="1"/>
    <col min="2" max="2" width="26" customWidth="1"/>
    <col min="3" max="3" width="16" customWidth="1"/>
    <col min="4" max="4" width="20" customWidth="1"/>
    <col min="5" max="5" width="24" customWidth="1"/>
    <col min="6" max="6" width="20" customWidth="1"/>
    <col min="7" max="7" width="38" customWidth="1"/>
    <col min="8" max="8" width="32" customWidth="1"/>
    <col min="9" max="9" width="14" customWidth="1"/>
    <col min="10" max="10" width="8" style="12" customWidth="1"/>
    <col min="11" max="11" width="14" customWidth="1"/>
    <col min="12" max="12" width="38" customWidth="1"/>
    <col min="13" max="13" width="42" customWidth="1"/>
    <col min="14" max="14" width="55" customWidth="1"/>
  </cols>
  <sheetData>
    <row r="1" spans="1:14" ht="18">
      <c r="A1" s="7" t="s">
        <v>477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42.75">
      <c r="A5" s="3" t="s">
        <v>16</v>
      </c>
      <c r="B5" s="3" t="s">
        <v>478</v>
      </c>
      <c r="C5" s="3" t="s">
        <v>479</v>
      </c>
      <c r="D5" s="3" t="s">
        <v>480</v>
      </c>
      <c r="E5" s="3" t="s">
        <v>481</v>
      </c>
      <c r="F5" s="3" t="s">
        <v>482</v>
      </c>
      <c r="G5" s="3" t="s">
        <v>483</v>
      </c>
      <c r="H5" s="3" t="s">
        <v>484</v>
      </c>
      <c r="I5" s="4">
        <v>20</v>
      </c>
      <c r="J5" s="10">
        <v>1</v>
      </c>
      <c r="K5" s="4">
        <f t="shared" ref="K5:K12" si="0">IF(ISNUMBER(I5),I5*J5,"")</f>
        <v>20</v>
      </c>
      <c r="L5" s="3" t="s">
        <v>485</v>
      </c>
      <c r="M5" s="3" t="s">
        <v>486</v>
      </c>
      <c r="N5" s="3" t="s">
        <v>487</v>
      </c>
    </row>
    <row r="6" spans="1:14" ht="28.5">
      <c r="A6" s="3" t="s">
        <v>16</v>
      </c>
      <c r="B6" s="3" t="s">
        <v>488</v>
      </c>
      <c r="C6" s="3" t="s">
        <v>36</v>
      </c>
      <c r="D6" s="3" t="s">
        <v>480</v>
      </c>
      <c r="E6" s="3" t="s">
        <v>489</v>
      </c>
      <c r="F6" s="3" t="s">
        <v>490</v>
      </c>
      <c r="G6" s="3" t="s">
        <v>491</v>
      </c>
      <c r="H6" s="3" t="s">
        <v>492</v>
      </c>
      <c r="I6" s="4">
        <v>47</v>
      </c>
      <c r="J6" s="10">
        <v>1</v>
      </c>
      <c r="K6" s="4">
        <f t="shared" si="0"/>
        <v>47</v>
      </c>
      <c r="L6" s="3" t="s">
        <v>493</v>
      </c>
      <c r="M6" s="3" t="s">
        <v>494</v>
      </c>
      <c r="N6" s="13" t="s">
        <v>495</v>
      </c>
    </row>
    <row r="7" spans="1:14" ht="42.75">
      <c r="A7" s="3" t="s">
        <v>89</v>
      </c>
      <c r="B7" s="3" t="s">
        <v>496</v>
      </c>
      <c r="C7" s="3" t="s">
        <v>63</v>
      </c>
      <c r="D7" s="3" t="s">
        <v>497</v>
      </c>
      <c r="E7" s="3" t="s">
        <v>498</v>
      </c>
      <c r="F7" s="3" t="s">
        <v>482</v>
      </c>
      <c r="G7" s="3" t="s">
        <v>499</v>
      </c>
      <c r="H7" s="3" t="s">
        <v>500</v>
      </c>
      <c r="I7" s="4">
        <v>70</v>
      </c>
      <c r="J7" s="10">
        <v>1</v>
      </c>
      <c r="K7" s="4">
        <f t="shared" si="0"/>
        <v>70</v>
      </c>
      <c r="L7" s="3" t="s">
        <v>501</v>
      </c>
      <c r="M7" s="3" t="s">
        <v>502</v>
      </c>
      <c r="N7" s="3" t="s">
        <v>503</v>
      </c>
    </row>
    <row r="8" spans="1:14" ht="28.5">
      <c r="A8" s="3" t="s">
        <v>89</v>
      </c>
      <c r="B8" s="3" t="s">
        <v>504</v>
      </c>
      <c r="C8" s="3" t="s">
        <v>63</v>
      </c>
      <c r="D8" s="3" t="s">
        <v>480</v>
      </c>
      <c r="E8" s="3" t="s">
        <v>505</v>
      </c>
      <c r="F8" s="3" t="s">
        <v>482</v>
      </c>
      <c r="G8" s="3" t="s">
        <v>506</v>
      </c>
      <c r="H8" s="3" t="s">
        <v>507</v>
      </c>
      <c r="I8" s="4">
        <v>90</v>
      </c>
      <c r="J8" s="10">
        <v>1</v>
      </c>
      <c r="K8" s="4">
        <f t="shared" si="0"/>
        <v>90</v>
      </c>
      <c r="L8" s="3" t="s">
        <v>508</v>
      </c>
      <c r="M8" s="3" t="s">
        <v>509</v>
      </c>
      <c r="N8" s="3" t="s">
        <v>510</v>
      </c>
    </row>
    <row r="9" spans="1:14" ht="28.5">
      <c r="A9" s="3" t="s">
        <v>144</v>
      </c>
      <c r="B9" s="3" t="s">
        <v>511</v>
      </c>
      <c r="C9" s="3" t="s">
        <v>63</v>
      </c>
      <c r="D9" s="3" t="s">
        <v>512</v>
      </c>
      <c r="E9" s="3" t="s">
        <v>392</v>
      </c>
      <c r="F9" s="3" t="s">
        <v>513</v>
      </c>
      <c r="G9" s="3" t="s">
        <v>514</v>
      </c>
      <c r="H9" s="3" t="s">
        <v>515</v>
      </c>
      <c r="I9" s="4">
        <v>120</v>
      </c>
      <c r="J9" s="10">
        <v>1</v>
      </c>
      <c r="K9" s="4">
        <f t="shared" si="0"/>
        <v>120</v>
      </c>
      <c r="L9" s="3" t="s">
        <v>516</v>
      </c>
      <c r="M9" s="3" t="s">
        <v>517</v>
      </c>
      <c r="N9" s="3" t="s">
        <v>518</v>
      </c>
    </row>
    <row r="10" spans="1:14" ht="28.5">
      <c r="A10" s="3" t="s">
        <v>161</v>
      </c>
      <c r="B10" s="3" t="s">
        <v>519</v>
      </c>
      <c r="C10" s="3" t="s">
        <v>170</v>
      </c>
      <c r="D10" s="3" t="s">
        <v>520</v>
      </c>
      <c r="E10" s="3" t="s">
        <v>521</v>
      </c>
      <c r="F10" s="3" t="s">
        <v>513</v>
      </c>
      <c r="G10" s="3" t="s">
        <v>522</v>
      </c>
      <c r="H10" s="3" t="s">
        <v>523</v>
      </c>
      <c r="I10" s="4">
        <v>250</v>
      </c>
      <c r="J10" s="10">
        <v>1</v>
      </c>
      <c r="K10" s="4">
        <f t="shared" si="0"/>
        <v>250</v>
      </c>
      <c r="L10" s="3" t="s">
        <v>524</v>
      </c>
      <c r="M10" s="3" t="s">
        <v>525</v>
      </c>
      <c r="N10" s="3" t="s">
        <v>526</v>
      </c>
    </row>
    <row r="11" spans="1:14" ht="28.5">
      <c r="A11" s="3" t="s">
        <v>161</v>
      </c>
      <c r="B11" s="3" t="s">
        <v>527</v>
      </c>
      <c r="C11" s="3" t="s">
        <v>170</v>
      </c>
      <c r="D11" s="3" t="s">
        <v>528</v>
      </c>
      <c r="E11" s="3" t="s">
        <v>521</v>
      </c>
      <c r="F11" s="3" t="s">
        <v>513</v>
      </c>
      <c r="G11" s="3" t="s">
        <v>529</v>
      </c>
      <c r="H11" s="3" t="s">
        <v>530</v>
      </c>
      <c r="I11" s="4">
        <v>260</v>
      </c>
      <c r="J11" s="10">
        <v>1</v>
      </c>
      <c r="K11" s="4">
        <f t="shared" si="0"/>
        <v>260</v>
      </c>
      <c r="L11" s="3" t="s">
        <v>531</v>
      </c>
      <c r="M11" s="3" t="s">
        <v>532</v>
      </c>
      <c r="N11" s="3" t="s">
        <v>533</v>
      </c>
    </row>
    <row r="12" spans="1:14">
      <c r="I12" s="5"/>
      <c r="K12" s="5" t="str">
        <f t="shared" si="0"/>
        <v/>
      </c>
    </row>
    <row r="13" spans="1:14">
      <c r="I13" s="5"/>
      <c r="K13" s="5"/>
    </row>
    <row r="14" spans="1:14">
      <c r="I14" s="5"/>
      <c r="K14" s="5"/>
    </row>
    <row r="15" spans="1:14">
      <c r="I15" s="5"/>
      <c r="K15" s="5"/>
    </row>
    <row r="16" spans="1:14">
      <c r="I16" s="5"/>
      <c r="K16" s="5"/>
    </row>
    <row r="17" spans="9:11">
      <c r="I17" s="5"/>
      <c r="K17" s="5"/>
    </row>
    <row r="18" spans="9:11">
      <c r="I18" s="5"/>
      <c r="K18" s="5"/>
    </row>
    <row r="19" spans="9:11">
      <c r="I19" s="5"/>
      <c r="K19" s="5"/>
    </row>
    <row r="20" spans="9:11">
      <c r="I20" s="5"/>
      <c r="K20" s="5"/>
    </row>
    <row r="21" spans="9:11">
      <c r="I21" s="5"/>
      <c r="K21" s="5"/>
    </row>
    <row r="22" spans="9:11">
      <c r="I22" s="5"/>
      <c r="K22" s="5"/>
    </row>
    <row r="23" spans="9:11">
      <c r="I23" s="5"/>
      <c r="K23" s="5"/>
    </row>
    <row r="24" spans="9:11">
      <c r="I24" s="5"/>
      <c r="K24" s="5"/>
    </row>
    <row r="25" spans="9:11">
      <c r="I25" s="5"/>
      <c r="K25" s="5"/>
    </row>
    <row r="26" spans="9:11">
      <c r="I26" s="5"/>
      <c r="K26" s="5"/>
    </row>
    <row r="27" spans="9:11">
      <c r="I27" s="5"/>
      <c r="K27" s="5"/>
    </row>
    <row r="28" spans="9:11">
      <c r="I28" s="5"/>
      <c r="K28" s="5"/>
    </row>
    <row r="29" spans="9:11">
      <c r="I29" s="5"/>
      <c r="K29" s="5"/>
    </row>
    <row r="30" spans="9:11">
      <c r="I30" s="5"/>
      <c r="K30" s="5"/>
    </row>
    <row r="31" spans="9:11">
      <c r="I31" s="5"/>
      <c r="K31" s="5"/>
    </row>
    <row r="32" spans="9:11">
      <c r="I32" s="5"/>
      <c r="K32" s="5"/>
    </row>
    <row r="33" spans="9:11">
      <c r="I33" s="5"/>
      <c r="K33" s="5"/>
    </row>
    <row r="34" spans="9:11">
      <c r="I34" s="5"/>
      <c r="K34" s="5"/>
    </row>
    <row r="35" spans="9:11">
      <c r="I35" s="5"/>
      <c r="K35" s="5"/>
    </row>
    <row r="36" spans="9:11">
      <c r="I36" s="5"/>
      <c r="K36" s="5"/>
    </row>
    <row r="37" spans="9:11">
      <c r="I37" s="5"/>
      <c r="K37" s="5"/>
    </row>
    <row r="38" spans="9:11">
      <c r="I38" s="5"/>
      <c r="K38" s="5"/>
    </row>
    <row r="39" spans="9:11">
      <c r="I39" s="5"/>
      <c r="K39" s="5"/>
    </row>
    <row r="40" spans="9:11">
      <c r="I40" s="5"/>
      <c r="K40" s="5"/>
    </row>
    <row r="41" spans="9:11">
      <c r="I41" s="5"/>
      <c r="K41" s="5"/>
    </row>
    <row r="42" spans="9:11">
      <c r="I42" s="5"/>
      <c r="K42" s="5"/>
    </row>
    <row r="43" spans="9:11">
      <c r="I43" s="5"/>
      <c r="K43" s="5"/>
    </row>
    <row r="44" spans="9:11">
      <c r="I44" s="5"/>
      <c r="K44" s="5"/>
    </row>
    <row r="45" spans="9:11">
      <c r="I45" s="5"/>
      <c r="K45" s="5"/>
    </row>
    <row r="46" spans="9:11">
      <c r="I46" s="5"/>
      <c r="K46" s="5"/>
    </row>
    <row r="47" spans="9:11">
      <c r="I47" s="5"/>
      <c r="K47" s="5"/>
    </row>
    <row r="48" spans="9:11">
      <c r="I48" s="5"/>
      <c r="K48" s="5"/>
    </row>
    <row r="49" spans="9:11">
      <c r="I49" s="5"/>
      <c r="K49" s="5"/>
    </row>
    <row r="50" spans="9:11">
      <c r="I50" s="5"/>
      <c r="K50" s="5"/>
    </row>
    <row r="51" spans="9:11">
      <c r="I51" s="5"/>
      <c r="K51" s="5"/>
    </row>
    <row r="52" spans="9:11">
      <c r="I52" s="5"/>
      <c r="K52" s="5"/>
    </row>
    <row r="53" spans="9:11">
      <c r="I53" s="5"/>
      <c r="K53" s="5"/>
    </row>
    <row r="54" spans="9:11">
      <c r="I54" s="5"/>
      <c r="K54" s="5"/>
    </row>
    <row r="55" spans="9:11">
      <c r="I55" s="5"/>
      <c r="K55" s="5"/>
    </row>
    <row r="56" spans="9:11">
      <c r="I56" s="5"/>
      <c r="K56" s="5"/>
    </row>
    <row r="57" spans="9:11">
      <c r="I57" s="5"/>
      <c r="K57" s="5"/>
    </row>
    <row r="58" spans="9:11">
      <c r="I58" s="5"/>
      <c r="K58" s="5"/>
    </row>
    <row r="59" spans="9:11">
      <c r="I59" s="5"/>
      <c r="K59" s="5"/>
    </row>
    <row r="60" spans="9:11">
      <c r="I60" s="5"/>
      <c r="K60" s="5"/>
    </row>
    <row r="61" spans="9:11">
      <c r="I61" s="5"/>
      <c r="K61" s="5"/>
    </row>
    <row r="62" spans="9:11">
      <c r="I62" s="5"/>
      <c r="K62" s="5"/>
    </row>
    <row r="63" spans="9:11">
      <c r="I63" s="5"/>
      <c r="K63" s="5"/>
    </row>
    <row r="64" spans="9:11">
      <c r="I64" s="5"/>
      <c r="K64" s="5"/>
    </row>
    <row r="65" spans="9:11">
      <c r="I65" s="5"/>
      <c r="K65" s="5"/>
    </row>
    <row r="66" spans="9:11">
      <c r="I66" s="5"/>
      <c r="K66" s="5"/>
    </row>
    <row r="67" spans="9:11">
      <c r="I67" s="5"/>
      <c r="K67" s="5"/>
    </row>
    <row r="68" spans="9:11">
      <c r="I68" s="5"/>
      <c r="K68" s="5"/>
    </row>
    <row r="69" spans="9:11">
      <c r="I69" s="5"/>
      <c r="K69" s="5"/>
    </row>
    <row r="70" spans="9:11">
      <c r="I70" s="5"/>
      <c r="K70" s="5"/>
    </row>
    <row r="71" spans="9:11">
      <c r="I71" s="5"/>
      <c r="K71" s="5"/>
    </row>
    <row r="72" spans="9:11">
      <c r="I72" s="5"/>
      <c r="K72" s="5"/>
    </row>
    <row r="73" spans="9:11">
      <c r="I73" s="5"/>
      <c r="K73" s="5"/>
    </row>
    <row r="74" spans="9:11">
      <c r="I74" s="5"/>
      <c r="K74" s="5"/>
    </row>
    <row r="75" spans="9:11">
      <c r="I75" s="5"/>
      <c r="K75" s="5"/>
    </row>
    <row r="76" spans="9:11">
      <c r="I76" s="5"/>
      <c r="K76" s="5"/>
    </row>
    <row r="77" spans="9:11">
      <c r="I77" s="5"/>
      <c r="K77" s="5"/>
    </row>
    <row r="78" spans="9:11">
      <c r="I78" s="5"/>
      <c r="K78" s="5"/>
    </row>
    <row r="79" spans="9:11">
      <c r="I79" s="5"/>
      <c r="K79" s="5"/>
    </row>
    <row r="80" spans="9:11">
      <c r="I80" s="5"/>
      <c r="K80" s="5"/>
    </row>
    <row r="81" spans="9:11">
      <c r="I81" s="5"/>
      <c r="K81" s="5"/>
    </row>
    <row r="82" spans="9:11">
      <c r="I82" s="5"/>
      <c r="K82" s="5"/>
    </row>
    <row r="83" spans="9:11">
      <c r="I83" s="5"/>
      <c r="K83" s="5"/>
    </row>
    <row r="84" spans="9:11">
      <c r="I84" s="5"/>
      <c r="K84" s="5"/>
    </row>
    <row r="85" spans="9:11">
      <c r="I85" s="5"/>
      <c r="K85" s="5"/>
    </row>
    <row r="86" spans="9:11">
      <c r="I86" s="5"/>
      <c r="K86" s="5"/>
    </row>
    <row r="87" spans="9:11">
      <c r="I87" s="5"/>
      <c r="K87" s="5"/>
    </row>
    <row r="88" spans="9:11">
      <c r="I88" s="5"/>
      <c r="K88" s="5"/>
    </row>
    <row r="89" spans="9:11">
      <c r="I89" s="5"/>
      <c r="K89" s="5"/>
    </row>
    <row r="90" spans="9:11">
      <c r="I90" s="5"/>
      <c r="K90" s="5"/>
    </row>
    <row r="91" spans="9:11">
      <c r="I91" s="5"/>
      <c r="K91" s="5"/>
    </row>
    <row r="92" spans="9:11">
      <c r="I92" s="5"/>
      <c r="K92" s="5"/>
    </row>
    <row r="93" spans="9:11">
      <c r="I93" s="5"/>
      <c r="K93" s="5"/>
    </row>
    <row r="94" spans="9:11">
      <c r="I94" s="5"/>
      <c r="K94" s="5"/>
    </row>
    <row r="95" spans="9:11">
      <c r="I95" s="5"/>
      <c r="K95" s="5"/>
    </row>
    <row r="96" spans="9:11">
      <c r="I96" s="5"/>
      <c r="K96" s="5"/>
    </row>
    <row r="97" spans="9:11">
      <c r="I97" s="5"/>
      <c r="K97" s="5"/>
    </row>
    <row r="98" spans="9:11">
      <c r="I98" s="5"/>
      <c r="K98" s="5"/>
    </row>
    <row r="99" spans="9:11">
      <c r="I99" s="5"/>
      <c r="K99" s="5"/>
    </row>
    <row r="100" spans="9:11">
      <c r="I100" s="5"/>
      <c r="K100" s="5"/>
    </row>
    <row r="101" spans="9:11">
      <c r="I101" s="5"/>
      <c r="K101" s="5"/>
    </row>
    <row r="102" spans="9:11">
      <c r="I102" s="5"/>
      <c r="K102" s="5"/>
    </row>
    <row r="103" spans="9:11">
      <c r="I103" s="5"/>
      <c r="K103" s="5"/>
    </row>
    <row r="104" spans="9:11">
      <c r="I104" s="5"/>
      <c r="K104" s="5"/>
    </row>
    <row r="105" spans="9:11">
      <c r="I105" s="5"/>
      <c r="K105" s="5"/>
    </row>
    <row r="106" spans="9:11">
      <c r="I106" s="5"/>
      <c r="K106" s="5"/>
    </row>
    <row r="107" spans="9:11">
      <c r="I107" s="5"/>
      <c r="K107" s="5"/>
    </row>
    <row r="108" spans="9:11">
      <c r="I108" s="5"/>
      <c r="K108" s="5"/>
    </row>
    <row r="109" spans="9:11">
      <c r="I109" s="5"/>
      <c r="K109" s="5"/>
    </row>
    <row r="110" spans="9:11">
      <c r="I110" s="5"/>
      <c r="K110" s="5"/>
    </row>
    <row r="111" spans="9:11">
      <c r="I111" s="5"/>
      <c r="K111" s="5"/>
    </row>
    <row r="112" spans="9:11">
      <c r="I112" s="5"/>
      <c r="K112" s="5"/>
    </row>
    <row r="113" spans="9:11">
      <c r="I113" s="5"/>
      <c r="K113" s="5"/>
    </row>
    <row r="114" spans="9:11">
      <c r="I114" s="5"/>
      <c r="K114" s="5"/>
    </row>
    <row r="115" spans="9:11">
      <c r="I115" s="5"/>
      <c r="K115" s="5"/>
    </row>
    <row r="116" spans="9:11">
      <c r="I116" s="5"/>
      <c r="K116" s="5"/>
    </row>
    <row r="117" spans="9:11">
      <c r="I117" s="5"/>
      <c r="K117" s="5"/>
    </row>
    <row r="118" spans="9:11">
      <c r="I118" s="5"/>
      <c r="K118" s="5"/>
    </row>
    <row r="119" spans="9:11">
      <c r="I119" s="5"/>
      <c r="K119" s="5"/>
    </row>
    <row r="120" spans="9:11">
      <c r="I120" s="5"/>
      <c r="K120" s="5"/>
    </row>
    <row r="121" spans="9:11">
      <c r="I121" s="5"/>
      <c r="K121" s="5"/>
    </row>
    <row r="122" spans="9:11">
      <c r="I122" s="5"/>
      <c r="K122" s="5"/>
    </row>
    <row r="123" spans="9:11">
      <c r="I123" s="5"/>
      <c r="K123" s="5"/>
    </row>
    <row r="124" spans="9:11">
      <c r="I124" s="5"/>
      <c r="K124" s="5"/>
    </row>
    <row r="125" spans="9:11">
      <c r="I125" s="5"/>
      <c r="K125" s="5"/>
    </row>
    <row r="126" spans="9:11">
      <c r="I126" s="5"/>
      <c r="K126" s="5"/>
    </row>
    <row r="127" spans="9:11">
      <c r="I127" s="5"/>
      <c r="K127" s="5"/>
    </row>
    <row r="128" spans="9:11">
      <c r="I128" s="5"/>
      <c r="K128" s="5"/>
    </row>
    <row r="129" spans="9:11">
      <c r="I129" s="5"/>
      <c r="K129" s="5"/>
    </row>
    <row r="130" spans="9:11">
      <c r="I130" s="5"/>
      <c r="K130" s="5"/>
    </row>
    <row r="131" spans="9:11">
      <c r="I131" s="5"/>
      <c r="K131" s="5"/>
    </row>
    <row r="132" spans="9:11">
      <c r="I132" s="5"/>
      <c r="K132" s="5"/>
    </row>
    <row r="133" spans="9:11">
      <c r="I133" s="5"/>
      <c r="K133" s="5"/>
    </row>
    <row r="134" spans="9:11">
      <c r="I134" s="5"/>
      <c r="K134" s="5"/>
    </row>
    <row r="135" spans="9:11">
      <c r="I135" s="5"/>
      <c r="K135" s="5"/>
    </row>
    <row r="136" spans="9:11">
      <c r="I136" s="5"/>
      <c r="K136" s="5"/>
    </row>
    <row r="137" spans="9:11">
      <c r="I137" s="5"/>
      <c r="K137" s="5"/>
    </row>
    <row r="138" spans="9:11">
      <c r="I138" s="5"/>
      <c r="K138" s="5"/>
    </row>
    <row r="139" spans="9:11">
      <c r="I139" s="5"/>
      <c r="K139" s="5"/>
    </row>
    <row r="140" spans="9:11">
      <c r="I140" s="5"/>
      <c r="K140" s="5"/>
    </row>
    <row r="141" spans="9:11">
      <c r="I141" s="5"/>
      <c r="K141" s="5"/>
    </row>
    <row r="142" spans="9:11">
      <c r="I142" s="5"/>
      <c r="K142" s="5"/>
    </row>
    <row r="143" spans="9:11">
      <c r="I143" s="5"/>
      <c r="K143" s="5"/>
    </row>
    <row r="144" spans="9:11">
      <c r="I144" s="5"/>
      <c r="K144" s="5"/>
    </row>
    <row r="145" spans="9:11">
      <c r="I145" s="5"/>
      <c r="K145" s="5"/>
    </row>
    <row r="146" spans="9:11">
      <c r="I146" s="5"/>
      <c r="K146" s="5"/>
    </row>
    <row r="147" spans="9:11">
      <c r="I147" s="5"/>
      <c r="K147" s="5"/>
    </row>
    <row r="148" spans="9:11">
      <c r="I148" s="5"/>
      <c r="K148" s="5"/>
    </row>
    <row r="149" spans="9:11">
      <c r="I149" s="5"/>
      <c r="K149" s="5"/>
    </row>
    <row r="150" spans="9:11">
      <c r="I150" s="5"/>
      <c r="K150" s="5"/>
    </row>
    <row r="151" spans="9:11">
      <c r="I151" s="5"/>
      <c r="K151" s="5"/>
    </row>
    <row r="152" spans="9:11">
      <c r="I152" s="5"/>
      <c r="K152" s="5"/>
    </row>
    <row r="153" spans="9:11">
      <c r="I153" s="5"/>
      <c r="K153" s="5"/>
    </row>
    <row r="154" spans="9:11">
      <c r="I154" s="5"/>
      <c r="K154" s="5"/>
    </row>
    <row r="155" spans="9:11">
      <c r="I155" s="5"/>
      <c r="K155" s="5"/>
    </row>
    <row r="156" spans="9:11">
      <c r="I156" s="5"/>
      <c r="K156" s="5"/>
    </row>
    <row r="157" spans="9:11">
      <c r="I157" s="5"/>
      <c r="K157" s="5"/>
    </row>
    <row r="158" spans="9:11">
      <c r="I158" s="5"/>
      <c r="K158" s="5"/>
    </row>
    <row r="159" spans="9:11">
      <c r="I159" s="5"/>
      <c r="K159" s="5"/>
    </row>
    <row r="160" spans="9:11">
      <c r="I160" s="5"/>
      <c r="K160" s="5"/>
    </row>
    <row r="161" spans="9:11">
      <c r="I161" s="5"/>
      <c r="K161" s="5"/>
    </row>
    <row r="162" spans="9:11">
      <c r="I162" s="5"/>
      <c r="K162" s="5"/>
    </row>
    <row r="163" spans="9:11">
      <c r="I163" s="5"/>
      <c r="K163" s="5"/>
    </row>
    <row r="164" spans="9:11">
      <c r="I164" s="5"/>
      <c r="K164" s="5"/>
    </row>
    <row r="165" spans="9:11">
      <c r="I165" s="5"/>
      <c r="K165" s="5"/>
    </row>
    <row r="166" spans="9:11">
      <c r="I166" s="5"/>
      <c r="K166" s="5"/>
    </row>
    <row r="167" spans="9:11">
      <c r="I167" s="5"/>
      <c r="K167" s="5"/>
    </row>
    <row r="168" spans="9:11">
      <c r="I168" s="5"/>
      <c r="K168" s="5"/>
    </row>
    <row r="169" spans="9:11">
      <c r="I169" s="5"/>
      <c r="K169" s="5"/>
    </row>
    <row r="170" spans="9:11">
      <c r="I170" s="5"/>
      <c r="K170" s="5"/>
    </row>
    <row r="171" spans="9:11">
      <c r="I171" s="5"/>
      <c r="K171" s="5"/>
    </row>
    <row r="172" spans="9:11">
      <c r="I172" s="5"/>
      <c r="K172" s="5"/>
    </row>
    <row r="173" spans="9:11">
      <c r="I173" s="5"/>
      <c r="K173" s="5"/>
    </row>
    <row r="174" spans="9:11">
      <c r="I174" s="5"/>
      <c r="K174" s="5"/>
    </row>
    <row r="175" spans="9:11">
      <c r="I175" s="5"/>
      <c r="K175" s="5"/>
    </row>
    <row r="176" spans="9:11">
      <c r="I176" s="5"/>
      <c r="K176" s="5"/>
    </row>
    <row r="177" spans="9:11">
      <c r="I177" s="5"/>
      <c r="K177" s="5"/>
    </row>
    <row r="178" spans="9:11">
      <c r="I178" s="5"/>
      <c r="K178" s="5"/>
    </row>
    <row r="179" spans="9:11">
      <c r="I179" s="5"/>
      <c r="K179" s="5"/>
    </row>
    <row r="180" spans="9:11">
      <c r="I180" s="5"/>
      <c r="K180" s="5"/>
    </row>
    <row r="181" spans="9:11">
      <c r="I181" s="5"/>
      <c r="K181" s="5"/>
    </row>
    <row r="182" spans="9:11">
      <c r="I182" s="5"/>
      <c r="K182" s="5"/>
    </row>
    <row r="183" spans="9:11">
      <c r="I183" s="5"/>
      <c r="K183" s="5"/>
    </row>
    <row r="184" spans="9:11">
      <c r="I184" s="5"/>
      <c r="K184" s="5"/>
    </row>
    <row r="185" spans="9:11">
      <c r="I185" s="5"/>
      <c r="K185" s="5"/>
    </row>
    <row r="186" spans="9:11">
      <c r="I186" s="5"/>
      <c r="K186" s="5"/>
    </row>
    <row r="187" spans="9:11">
      <c r="I187" s="5"/>
      <c r="K187" s="5"/>
    </row>
    <row r="188" spans="9:11">
      <c r="I188" s="5"/>
      <c r="K188" s="5"/>
    </row>
    <row r="189" spans="9:11">
      <c r="I189" s="5"/>
      <c r="K189" s="5"/>
    </row>
    <row r="190" spans="9:11">
      <c r="I190" s="5"/>
      <c r="K190" s="5"/>
    </row>
    <row r="191" spans="9:11">
      <c r="I191" s="5"/>
      <c r="K191" s="5"/>
    </row>
    <row r="192" spans="9:11">
      <c r="I192" s="5"/>
      <c r="K192" s="5"/>
    </row>
    <row r="193" spans="9:11">
      <c r="I193" s="5"/>
      <c r="K193" s="5"/>
    </row>
    <row r="194" spans="9:11">
      <c r="I194" s="5"/>
      <c r="K194" s="5"/>
    </row>
    <row r="195" spans="9:11">
      <c r="I195" s="5"/>
      <c r="K195" s="5"/>
    </row>
    <row r="196" spans="9:11">
      <c r="I196" s="5"/>
      <c r="K196" s="5"/>
    </row>
    <row r="197" spans="9:11">
      <c r="I197" s="5"/>
      <c r="K197" s="5"/>
    </row>
    <row r="198" spans="9:11">
      <c r="I198" s="5"/>
      <c r="K198" s="5"/>
    </row>
    <row r="199" spans="9:11">
      <c r="I199" s="5"/>
      <c r="K199" s="5"/>
    </row>
    <row r="200" spans="9:11">
      <c r="I200" s="5"/>
      <c r="K200" s="5"/>
    </row>
  </sheetData>
  <mergeCells count="2">
    <mergeCell ref="A1:N1"/>
    <mergeCell ref="A2:N2"/>
  </mergeCells>
  <hyperlinks>
    <hyperlink ref="N6" r:id="rId1" xr:uid="{6AEF975F-2F45-4E91-984F-A00B129DF3A7}"/>
  </hyperlinks>
  <pageMargins left="0.7" right="0.7" top="0.75" bottom="0.75" header="0.3" footer="0.3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200"/>
  <sheetViews>
    <sheetView topLeftCell="G1" workbookViewId="0">
      <selection activeCell="N5" sqref="N5"/>
    </sheetView>
  </sheetViews>
  <sheetFormatPr defaultRowHeight="14.25"/>
  <cols>
    <col min="1" max="1" width="14" customWidth="1"/>
    <col min="2" max="2" width="26" customWidth="1"/>
    <col min="3" max="3" width="16" customWidth="1"/>
    <col min="4" max="4" width="20" customWidth="1"/>
    <col min="5" max="5" width="24" customWidth="1"/>
    <col min="6" max="6" width="20" customWidth="1"/>
    <col min="7" max="7" width="38" customWidth="1"/>
    <col min="8" max="8" width="32" customWidth="1"/>
    <col min="9" max="9" width="14" customWidth="1"/>
    <col min="10" max="10" width="8" style="12" customWidth="1"/>
    <col min="11" max="11" width="14" customWidth="1"/>
    <col min="12" max="12" width="38" customWidth="1"/>
    <col min="13" max="13" width="42" customWidth="1"/>
    <col min="14" max="14" width="55" customWidth="1"/>
  </cols>
  <sheetData>
    <row r="1" spans="1:14" ht="18">
      <c r="A1" s="7" t="s">
        <v>534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28.5">
      <c r="A5" s="3" t="s">
        <v>16</v>
      </c>
      <c r="B5" s="3" t="s">
        <v>535</v>
      </c>
      <c r="C5" s="3" t="s">
        <v>536</v>
      </c>
      <c r="D5" s="3" t="s">
        <v>537</v>
      </c>
      <c r="E5" s="3" t="s">
        <v>538</v>
      </c>
      <c r="F5" s="3" t="s">
        <v>482</v>
      </c>
      <c r="G5" s="3" t="s">
        <v>539</v>
      </c>
      <c r="H5" s="3" t="s">
        <v>540</v>
      </c>
      <c r="I5" s="4">
        <v>18</v>
      </c>
      <c r="J5" s="10">
        <v>1</v>
      </c>
      <c r="K5" s="4">
        <f t="shared" ref="K5:K11" si="0">IF(ISNUMBER(I5),I5*J5,"")</f>
        <v>18</v>
      </c>
      <c r="L5" s="3" t="s">
        <v>541</v>
      </c>
      <c r="M5" s="3" t="s">
        <v>542</v>
      </c>
      <c r="N5" s="3" t="s">
        <v>543</v>
      </c>
    </row>
    <row r="6" spans="1:14" ht="28.5">
      <c r="A6" s="3" t="s">
        <v>89</v>
      </c>
      <c r="B6" s="3" t="s">
        <v>544</v>
      </c>
      <c r="C6" s="3" t="s">
        <v>536</v>
      </c>
      <c r="D6" s="3" t="s">
        <v>545</v>
      </c>
      <c r="E6" s="3" t="s">
        <v>538</v>
      </c>
      <c r="F6" s="3" t="s">
        <v>546</v>
      </c>
      <c r="G6" s="3" t="s">
        <v>547</v>
      </c>
      <c r="H6" s="3" t="s">
        <v>548</v>
      </c>
      <c r="I6" s="4">
        <v>35</v>
      </c>
      <c r="J6" s="10">
        <v>1</v>
      </c>
      <c r="K6" s="4">
        <f t="shared" si="0"/>
        <v>35</v>
      </c>
      <c r="L6" s="3" t="s">
        <v>549</v>
      </c>
      <c r="M6" s="3" t="s">
        <v>550</v>
      </c>
      <c r="N6" s="3" t="s">
        <v>551</v>
      </c>
    </row>
    <row r="7" spans="1:14" ht="28.5">
      <c r="A7" s="3" t="s">
        <v>89</v>
      </c>
      <c r="B7" s="3" t="s">
        <v>552</v>
      </c>
      <c r="C7" s="3" t="s">
        <v>100</v>
      </c>
      <c r="D7" s="3" t="s">
        <v>553</v>
      </c>
      <c r="E7" s="3" t="s">
        <v>554</v>
      </c>
      <c r="F7" s="3" t="s">
        <v>555</v>
      </c>
      <c r="G7" s="3" t="s">
        <v>556</v>
      </c>
      <c r="H7" s="3" t="s">
        <v>557</v>
      </c>
      <c r="I7" s="4">
        <v>35</v>
      </c>
      <c r="J7" s="10">
        <v>1</v>
      </c>
      <c r="K7" s="4">
        <f t="shared" si="0"/>
        <v>35</v>
      </c>
      <c r="L7" s="3" t="s">
        <v>558</v>
      </c>
      <c r="M7" s="3" t="s">
        <v>559</v>
      </c>
      <c r="N7" s="3" t="s">
        <v>560</v>
      </c>
    </row>
    <row r="8" spans="1:14" ht="28.5">
      <c r="A8" s="3" t="s">
        <v>144</v>
      </c>
      <c r="B8" s="3" t="s">
        <v>561</v>
      </c>
      <c r="C8" s="3" t="s">
        <v>100</v>
      </c>
      <c r="D8" s="3" t="s">
        <v>562</v>
      </c>
      <c r="E8" s="3" t="s">
        <v>554</v>
      </c>
      <c r="F8" s="3" t="s">
        <v>555</v>
      </c>
      <c r="G8" s="3" t="s">
        <v>563</v>
      </c>
      <c r="H8" s="3" t="s">
        <v>564</v>
      </c>
      <c r="I8" s="4">
        <v>55</v>
      </c>
      <c r="J8" s="10">
        <v>1</v>
      </c>
      <c r="K8" s="4">
        <f t="shared" si="0"/>
        <v>55</v>
      </c>
      <c r="L8" s="3" t="s">
        <v>565</v>
      </c>
      <c r="M8" s="3" t="s">
        <v>566</v>
      </c>
      <c r="N8" s="3" t="s">
        <v>567</v>
      </c>
    </row>
    <row r="9" spans="1:14" ht="28.5">
      <c r="A9" s="3" t="s">
        <v>144</v>
      </c>
      <c r="B9" s="3" t="s">
        <v>568</v>
      </c>
      <c r="C9" s="3" t="s">
        <v>569</v>
      </c>
      <c r="D9" s="3" t="s">
        <v>570</v>
      </c>
      <c r="E9" s="3" t="s">
        <v>571</v>
      </c>
      <c r="F9" s="3" t="s">
        <v>572</v>
      </c>
      <c r="G9" s="3" t="s">
        <v>573</v>
      </c>
      <c r="H9" s="3" t="s">
        <v>574</v>
      </c>
      <c r="I9" s="4">
        <v>53</v>
      </c>
      <c r="J9" s="10">
        <v>1</v>
      </c>
      <c r="K9" s="4">
        <f t="shared" si="0"/>
        <v>53</v>
      </c>
      <c r="L9" s="3" t="s">
        <v>575</v>
      </c>
      <c r="M9" s="3" t="s">
        <v>576</v>
      </c>
      <c r="N9" s="3" t="s">
        <v>577</v>
      </c>
    </row>
    <row r="10" spans="1:14">
      <c r="A10" s="3" t="s">
        <v>161</v>
      </c>
      <c r="B10" s="3" t="s">
        <v>578</v>
      </c>
      <c r="C10" s="3" t="s">
        <v>579</v>
      </c>
      <c r="D10" s="3" t="s">
        <v>580</v>
      </c>
      <c r="E10" s="3" t="s">
        <v>581</v>
      </c>
      <c r="F10" s="3" t="s">
        <v>582</v>
      </c>
      <c r="G10" s="3" t="s">
        <v>583</v>
      </c>
      <c r="H10" s="3" t="s">
        <v>584</v>
      </c>
      <c r="I10" s="4">
        <v>165</v>
      </c>
      <c r="J10" s="10">
        <v>1</v>
      </c>
      <c r="K10" s="4">
        <f t="shared" si="0"/>
        <v>165</v>
      </c>
      <c r="L10" s="3" t="s">
        <v>585</v>
      </c>
      <c r="M10" s="3" t="s">
        <v>586</v>
      </c>
      <c r="N10" s="3" t="s">
        <v>587</v>
      </c>
    </row>
    <row r="11" spans="1:14">
      <c r="I11" s="5"/>
      <c r="K11" s="5" t="str">
        <f t="shared" si="0"/>
        <v/>
      </c>
    </row>
    <row r="12" spans="1:14">
      <c r="I12" s="5"/>
      <c r="K12" s="5"/>
    </row>
    <row r="13" spans="1:14">
      <c r="I13" s="5"/>
      <c r="K13" s="5"/>
    </row>
    <row r="14" spans="1:14">
      <c r="I14" s="5"/>
      <c r="K14" s="5"/>
    </row>
    <row r="15" spans="1:14">
      <c r="I15" s="5"/>
      <c r="K15" s="5"/>
    </row>
    <row r="16" spans="1:14">
      <c r="I16" s="5"/>
      <c r="K16" s="5"/>
    </row>
    <row r="17" spans="9:11">
      <c r="I17" s="5"/>
      <c r="K17" s="5"/>
    </row>
    <row r="18" spans="9:11">
      <c r="I18" s="5"/>
      <c r="K18" s="5"/>
    </row>
    <row r="19" spans="9:11">
      <c r="I19" s="5"/>
      <c r="K19" s="5"/>
    </row>
    <row r="20" spans="9:11">
      <c r="I20" s="5"/>
      <c r="K20" s="5"/>
    </row>
    <row r="21" spans="9:11">
      <c r="I21" s="5"/>
      <c r="K21" s="5"/>
    </row>
    <row r="22" spans="9:11">
      <c r="I22" s="5"/>
      <c r="K22" s="5"/>
    </row>
    <row r="23" spans="9:11">
      <c r="I23" s="5"/>
      <c r="K23" s="5"/>
    </row>
    <row r="24" spans="9:11">
      <c r="I24" s="5"/>
      <c r="K24" s="5"/>
    </row>
    <row r="25" spans="9:11">
      <c r="I25" s="5"/>
      <c r="K25" s="5"/>
    </row>
    <row r="26" spans="9:11">
      <c r="I26" s="5"/>
      <c r="K26" s="5"/>
    </row>
    <row r="27" spans="9:11">
      <c r="I27" s="5"/>
      <c r="K27" s="5"/>
    </row>
    <row r="28" spans="9:11">
      <c r="I28" s="5"/>
      <c r="K28" s="5"/>
    </row>
    <row r="29" spans="9:11">
      <c r="I29" s="5"/>
      <c r="K29" s="5"/>
    </row>
    <row r="30" spans="9:11">
      <c r="I30" s="5"/>
      <c r="K30" s="5"/>
    </row>
    <row r="31" spans="9:11">
      <c r="I31" s="5"/>
      <c r="K31" s="5"/>
    </row>
    <row r="32" spans="9:11">
      <c r="I32" s="5"/>
      <c r="K32" s="5"/>
    </row>
    <row r="33" spans="9:11">
      <c r="I33" s="5"/>
      <c r="K33" s="5"/>
    </row>
    <row r="34" spans="9:11">
      <c r="I34" s="5"/>
      <c r="K34" s="5"/>
    </row>
    <row r="35" spans="9:11">
      <c r="I35" s="5"/>
      <c r="K35" s="5"/>
    </row>
    <row r="36" spans="9:11">
      <c r="I36" s="5"/>
      <c r="K36" s="5"/>
    </row>
    <row r="37" spans="9:11">
      <c r="I37" s="5"/>
      <c r="K37" s="5"/>
    </row>
    <row r="38" spans="9:11">
      <c r="I38" s="5"/>
      <c r="K38" s="5"/>
    </row>
    <row r="39" spans="9:11">
      <c r="I39" s="5"/>
      <c r="K39" s="5"/>
    </row>
    <row r="40" spans="9:11">
      <c r="I40" s="5"/>
      <c r="K40" s="5"/>
    </row>
    <row r="41" spans="9:11">
      <c r="I41" s="5"/>
      <c r="K41" s="5"/>
    </row>
    <row r="42" spans="9:11">
      <c r="I42" s="5"/>
      <c r="K42" s="5"/>
    </row>
    <row r="43" spans="9:11">
      <c r="I43" s="5"/>
      <c r="K43" s="5"/>
    </row>
    <row r="44" spans="9:11">
      <c r="I44" s="5"/>
      <c r="K44" s="5"/>
    </row>
    <row r="45" spans="9:11">
      <c r="I45" s="5"/>
      <c r="K45" s="5"/>
    </row>
    <row r="46" spans="9:11">
      <c r="I46" s="5"/>
      <c r="K46" s="5"/>
    </row>
    <row r="47" spans="9:11">
      <c r="I47" s="5"/>
      <c r="K47" s="5"/>
    </row>
    <row r="48" spans="9:11">
      <c r="I48" s="5"/>
      <c r="K48" s="5"/>
    </row>
    <row r="49" spans="9:11">
      <c r="I49" s="5"/>
      <c r="K49" s="5"/>
    </row>
    <row r="50" spans="9:11">
      <c r="I50" s="5"/>
      <c r="K50" s="5"/>
    </row>
    <row r="51" spans="9:11">
      <c r="I51" s="5"/>
      <c r="K51" s="5"/>
    </row>
    <row r="52" spans="9:11">
      <c r="I52" s="5"/>
      <c r="K52" s="5"/>
    </row>
    <row r="53" spans="9:11">
      <c r="I53" s="5"/>
      <c r="K53" s="5"/>
    </row>
    <row r="54" spans="9:11">
      <c r="I54" s="5"/>
      <c r="K54" s="5"/>
    </row>
    <row r="55" spans="9:11">
      <c r="I55" s="5"/>
      <c r="K55" s="5"/>
    </row>
    <row r="56" spans="9:11">
      <c r="I56" s="5"/>
      <c r="K56" s="5"/>
    </row>
    <row r="57" spans="9:11">
      <c r="I57" s="5"/>
      <c r="K57" s="5"/>
    </row>
    <row r="58" spans="9:11">
      <c r="I58" s="5"/>
      <c r="K58" s="5"/>
    </row>
    <row r="59" spans="9:11">
      <c r="I59" s="5"/>
      <c r="K59" s="5"/>
    </row>
    <row r="60" spans="9:11">
      <c r="I60" s="5"/>
      <c r="K60" s="5"/>
    </row>
    <row r="61" spans="9:11">
      <c r="I61" s="5"/>
      <c r="K61" s="5"/>
    </row>
    <row r="62" spans="9:11">
      <c r="I62" s="5"/>
      <c r="K62" s="5"/>
    </row>
    <row r="63" spans="9:11">
      <c r="I63" s="5"/>
      <c r="K63" s="5"/>
    </row>
    <row r="64" spans="9:11">
      <c r="I64" s="5"/>
      <c r="K64" s="5"/>
    </row>
    <row r="65" spans="9:11">
      <c r="I65" s="5"/>
      <c r="K65" s="5"/>
    </row>
    <row r="66" spans="9:11">
      <c r="I66" s="5"/>
      <c r="K66" s="5"/>
    </row>
    <row r="67" spans="9:11">
      <c r="I67" s="5"/>
      <c r="K67" s="5"/>
    </row>
    <row r="68" spans="9:11">
      <c r="I68" s="5"/>
      <c r="K68" s="5"/>
    </row>
    <row r="69" spans="9:11">
      <c r="I69" s="5"/>
      <c r="K69" s="5"/>
    </row>
    <row r="70" spans="9:11">
      <c r="I70" s="5"/>
      <c r="K70" s="5"/>
    </row>
    <row r="71" spans="9:11">
      <c r="I71" s="5"/>
      <c r="K71" s="5"/>
    </row>
    <row r="72" spans="9:11">
      <c r="I72" s="5"/>
      <c r="K72" s="5"/>
    </row>
    <row r="73" spans="9:11">
      <c r="I73" s="5"/>
      <c r="K73" s="5"/>
    </row>
    <row r="74" spans="9:11">
      <c r="I74" s="5"/>
      <c r="K74" s="5"/>
    </row>
    <row r="75" spans="9:11">
      <c r="I75" s="5"/>
      <c r="K75" s="5"/>
    </row>
    <row r="76" spans="9:11">
      <c r="I76" s="5"/>
      <c r="K76" s="5"/>
    </row>
    <row r="77" spans="9:11">
      <c r="I77" s="5"/>
      <c r="K77" s="5"/>
    </row>
    <row r="78" spans="9:11">
      <c r="I78" s="5"/>
      <c r="K78" s="5"/>
    </row>
    <row r="79" spans="9:11">
      <c r="I79" s="5"/>
      <c r="K79" s="5"/>
    </row>
    <row r="80" spans="9:11">
      <c r="I80" s="5"/>
      <c r="K80" s="5"/>
    </row>
    <row r="81" spans="9:11">
      <c r="I81" s="5"/>
      <c r="K81" s="5"/>
    </row>
    <row r="82" spans="9:11">
      <c r="I82" s="5"/>
      <c r="K82" s="5"/>
    </row>
    <row r="83" spans="9:11">
      <c r="I83" s="5"/>
      <c r="K83" s="5"/>
    </row>
    <row r="84" spans="9:11">
      <c r="I84" s="5"/>
      <c r="K84" s="5"/>
    </row>
    <row r="85" spans="9:11">
      <c r="I85" s="5"/>
      <c r="K85" s="5"/>
    </row>
    <row r="86" spans="9:11">
      <c r="I86" s="5"/>
      <c r="K86" s="5"/>
    </row>
    <row r="87" spans="9:11">
      <c r="I87" s="5"/>
      <c r="K87" s="5"/>
    </row>
    <row r="88" spans="9:11">
      <c r="I88" s="5"/>
      <c r="K88" s="5"/>
    </row>
    <row r="89" spans="9:11">
      <c r="I89" s="5"/>
      <c r="K89" s="5"/>
    </row>
    <row r="90" spans="9:11">
      <c r="I90" s="5"/>
      <c r="K90" s="5"/>
    </row>
    <row r="91" spans="9:11">
      <c r="I91" s="5"/>
      <c r="K91" s="5"/>
    </row>
    <row r="92" spans="9:11">
      <c r="I92" s="5"/>
      <c r="K92" s="5"/>
    </row>
    <row r="93" spans="9:11">
      <c r="I93" s="5"/>
      <c r="K93" s="5"/>
    </row>
    <row r="94" spans="9:11">
      <c r="I94" s="5"/>
      <c r="K94" s="5"/>
    </row>
    <row r="95" spans="9:11">
      <c r="I95" s="5"/>
      <c r="K95" s="5"/>
    </row>
    <row r="96" spans="9:11">
      <c r="I96" s="5"/>
      <c r="K96" s="5"/>
    </row>
    <row r="97" spans="9:11">
      <c r="I97" s="5"/>
      <c r="K97" s="5"/>
    </row>
    <row r="98" spans="9:11">
      <c r="I98" s="5"/>
      <c r="K98" s="5"/>
    </row>
    <row r="99" spans="9:11">
      <c r="I99" s="5"/>
      <c r="K99" s="5"/>
    </row>
    <row r="100" spans="9:11">
      <c r="I100" s="5"/>
      <c r="K100" s="5"/>
    </row>
    <row r="101" spans="9:11">
      <c r="I101" s="5"/>
      <c r="K101" s="5"/>
    </row>
    <row r="102" spans="9:11">
      <c r="I102" s="5"/>
      <c r="K102" s="5"/>
    </row>
    <row r="103" spans="9:11">
      <c r="I103" s="5"/>
      <c r="K103" s="5"/>
    </row>
    <row r="104" spans="9:11">
      <c r="I104" s="5"/>
      <c r="K104" s="5"/>
    </row>
    <row r="105" spans="9:11">
      <c r="I105" s="5"/>
      <c r="K105" s="5"/>
    </row>
    <row r="106" spans="9:11">
      <c r="I106" s="5"/>
      <c r="K106" s="5"/>
    </row>
    <row r="107" spans="9:11">
      <c r="I107" s="5"/>
      <c r="K107" s="5"/>
    </row>
    <row r="108" spans="9:11">
      <c r="I108" s="5"/>
      <c r="K108" s="5"/>
    </row>
    <row r="109" spans="9:11">
      <c r="I109" s="5"/>
      <c r="K109" s="5"/>
    </row>
    <row r="110" spans="9:11">
      <c r="I110" s="5"/>
      <c r="K110" s="5"/>
    </row>
    <row r="111" spans="9:11">
      <c r="I111" s="5"/>
      <c r="K111" s="5"/>
    </row>
    <row r="112" spans="9:11">
      <c r="I112" s="5"/>
      <c r="K112" s="5"/>
    </row>
    <row r="113" spans="9:11">
      <c r="I113" s="5"/>
      <c r="K113" s="5"/>
    </row>
    <row r="114" spans="9:11">
      <c r="I114" s="5"/>
      <c r="K114" s="5"/>
    </row>
    <row r="115" spans="9:11">
      <c r="I115" s="5"/>
      <c r="K115" s="5"/>
    </row>
    <row r="116" spans="9:11">
      <c r="I116" s="5"/>
      <c r="K116" s="5"/>
    </row>
    <row r="117" spans="9:11">
      <c r="I117" s="5"/>
      <c r="K117" s="5"/>
    </row>
    <row r="118" spans="9:11">
      <c r="I118" s="5"/>
      <c r="K118" s="5"/>
    </row>
    <row r="119" spans="9:11">
      <c r="I119" s="5"/>
      <c r="K119" s="5"/>
    </row>
    <row r="120" spans="9:11">
      <c r="I120" s="5"/>
      <c r="K120" s="5"/>
    </row>
    <row r="121" spans="9:11">
      <c r="I121" s="5"/>
      <c r="K121" s="5"/>
    </row>
    <row r="122" spans="9:11">
      <c r="I122" s="5"/>
      <c r="K122" s="5"/>
    </row>
    <row r="123" spans="9:11">
      <c r="I123" s="5"/>
      <c r="K123" s="5"/>
    </row>
    <row r="124" spans="9:11">
      <c r="I124" s="5"/>
      <c r="K124" s="5"/>
    </row>
    <row r="125" spans="9:11">
      <c r="I125" s="5"/>
      <c r="K125" s="5"/>
    </row>
    <row r="126" spans="9:11">
      <c r="I126" s="5"/>
      <c r="K126" s="5"/>
    </row>
    <row r="127" spans="9:11">
      <c r="I127" s="5"/>
      <c r="K127" s="5"/>
    </row>
    <row r="128" spans="9:11">
      <c r="I128" s="5"/>
      <c r="K128" s="5"/>
    </row>
    <row r="129" spans="9:11">
      <c r="I129" s="5"/>
      <c r="K129" s="5"/>
    </row>
    <row r="130" spans="9:11">
      <c r="I130" s="5"/>
      <c r="K130" s="5"/>
    </row>
    <row r="131" spans="9:11">
      <c r="I131" s="5"/>
      <c r="K131" s="5"/>
    </row>
    <row r="132" spans="9:11">
      <c r="I132" s="5"/>
      <c r="K132" s="5"/>
    </row>
    <row r="133" spans="9:11">
      <c r="I133" s="5"/>
      <c r="K133" s="5"/>
    </row>
    <row r="134" spans="9:11">
      <c r="I134" s="5"/>
      <c r="K134" s="5"/>
    </row>
    <row r="135" spans="9:11">
      <c r="I135" s="5"/>
      <c r="K135" s="5"/>
    </row>
    <row r="136" spans="9:11">
      <c r="I136" s="5"/>
      <c r="K136" s="5"/>
    </row>
    <row r="137" spans="9:11">
      <c r="I137" s="5"/>
      <c r="K137" s="5"/>
    </row>
    <row r="138" spans="9:11">
      <c r="I138" s="5"/>
      <c r="K138" s="5"/>
    </row>
    <row r="139" spans="9:11">
      <c r="I139" s="5"/>
      <c r="K139" s="5"/>
    </row>
    <row r="140" spans="9:11">
      <c r="I140" s="5"/>
      <c r="K140" s="5"/>
    </row>
    <row r="141" spans="9:11">
      <c r="I141" s="5"/>
      <c r="K141" s="5"/>
    </row>
    <row r="142" spans="9:11">
      <c r="I142" s="5"/>
      <c r="K142" s="5"/>
    </row>
    <row r="143" spans="9:11">
      <c r="I143" s="5"/>
      <c r="K143" s="5"/>
    </row>
    <row r="144" spans="9:11">
      <c r="I144" s="5"/>
      <c r="K144" s="5"/>
    </row>
    <row r="145" spans="9:11">
      <c r="I145" s="5"/>
      <c r="K145" s="5"/>
    </row>
    <row r="146" spans="9:11">
      <c r="I146" s="5"/>
      <c r="K146" s="5"/>
    </row>
    <row r="147" spans="9:11">
      <c r="I147" s="5"/>
      <c r="K147" s="5"/>
    </row>
    <row r="148" spans="9:11">
      <c r="I148" s="5"/>
      <c r="K148" s="5"/>
    </row>
    <row r="149" spans="9:11">
      <c r="I149" s="5"/>
      <c r="K149" s="5"/>
    </row>
    <row r="150" spans="9:11">
      <c r="I150" s="5"/>
      <c r="K150" s="5"/>
    </row>
    <row r="151" spans="9:11">
      <c r="I151" s="5"/>
      <c r="K151" s="5"/>
    </row>
    <row r="152" spans="9:11">
      <c r="I152" s="5"/>
      <c r="K152" s="5"/>
    </row>
    <row r="153" spans="9:11">
      <c r="I153" s="5"/>
      <c r="K153" s="5"/>
    </row>
    <row r="154" spans="9:11">
      <c r="I154" s="5"/>
      <c r="K154" s="5"/>
    </row>
    <row r="155" spans="9:11">
      <c r="I155" s="5"/>
      <c r="K155" s="5"/>
    </row>
    <row r="156" spans="9:11">
      <c r="I156" s="5"/>
      <c r="K156" s="5"/>
    </row>
    <row r="157" spans="9:11">
      <c r="I157" s="5"/>
      <c r="K157" s="5"/>
    </row>
    <row r="158" spans="9:11">
      <c r="I158" s="5"/>
      <c r="K158" s="5"/>
    </row>
    <row r="159" spans="9:11">
      <c r="I159" s="5"/>
      <c r="K159" s="5"/>
    </row>
    <row r="160" spans="9:11">
      <c r="I160" s="5"/>
      <c r="K160" s="5"/>
    </row>
    <row r="161" spans="9:11">
      <c r="I161" s="5"/>
      <c r="K161" s="5"/>
    </row>
    <row r="162" spans="9:11">
      <c r="I162" s="5"/>
      <c r="K162" s="5"/>
    </row>
    <row r="163" spans="9:11">
      <c r="I163" s="5"/>
      <c r="K163" s="5"/>
    </row>
    <row r="164" spans="9:11">
      <c r="I164" s="5"/>
      <c r="K164" s="5"/>
    </row>
    <row r="165" spans="9:11">
      <c r="I165" s="5"/>
      <c r="K165" s="5"/>
    </row>
    <row r="166" spans="9:11">
      <c r="I166" s="5"/>
      <c r="K166" s="5"/>
    </row>
    <row r="167" spans="9:11">
      <c r="I167" s="5"/>
      <c r="K167" s="5"/>
    </row>
    <row r="168" spans="9:11">
      <c r="I168" s="5"/>
      <c r="K168" s="5"/>
    </row>
    <row r="169" spans="9:11">
      <c r="I169" s="5"/>
      <c r="K169" s="5"/>
    </row>
    <row r="170" spans="9:11">
      <c r="I170" s="5"/>
      <c r="K170" s="5"/>
    </row>
    <row r="171" spans="9:11">
      <c r="I171" s="5"/>
      <c r="K171" s="5"/>
    </row>
    <row r="172" spans="9:11">
      <c r="I172" s="5"/>
      <c r="K172" s="5"/>
    </row>
    <row r="173" spans="9:11">
      <c r="I173" s="5"/>
      <c r="K173" s="5"/>
    </row>
    <row r="174" spans="9:11">
      <c r="I174" s="5"/>
      <c r="K174" s="5"/>
    </row>
    <row r="175" spans="9:11">
      <c r="I175" s="5"/>
      <c r="K175" s="5"/>
    </row>
    <row r="176" spans="9:11">
      <c r="I176" s="5"/>
      <c r="K176" s="5"/>
    </row>
    <row r="177" spans="9:11">
      <c r="I177" s="5"/>
      <c r="K177" s="5"/>
    </row>
    <row r="178" spans="9:11">
      <c r="I178" s="5"/>
      <c r="K178" s="5"/>
    </row>
    <row r="179" spans="9:11">
      <c r="I179" s="5"/>
      <c r="K179" s="5"/>
    </row>
    <row r="180" spans="9:11">
      <c r="I180" s="5"/>
      <c r="K180" s="5"/>
    </row>
    <row r="181" spans="9:11">
      <c r="I181" s="5"/>
      <c r="K181" s="5"/>
    </row>
    <row r="182" spans="9:11">
      <c r="I182" s="5"/>
      <c r="K182" s="5"/>
    </row>
    <row r="183" spans="9:11">
      <c r="I183" s="5"/>
      <c r="K183" s="5"/>
    </row>
    <row r="184" spans="9:11">
      <c r="I184" s="5"/>
      <c r="K184" s="5"/>
    </row>
    <row r="185" spans="9:11">
      <c r="I185" s="5"/>
      <c r="K185" s="5"/>
    </row>
    <row r="186" spans="9:11">
      <c r="I186" s="5"/>
      <c r="K186" s="5"/>
    </row>
    <row r="187" spans="9:11">
      <c r="I187" s="5"/>
      <c r="K187" s="5"/>
    </row>
    <row r="188" spans="9:11">
      <c r="I188" s="5"/>
      <c r="K188" s="5"/>
    </row>
    <row r="189" spans="9:11">
      <c r="I189" s="5"/>
      <c r="K189" s="5"/>
    </row>
    <row r="190" spans="9:11">
      <c r="I190" s="5"/>
      <c r="K190" s="5"/>
    </row>
    <row r="191" spans="9:11">
      <c r="I191" s="5"/>
      <c r="K191" s="5"/>
    </row>
    <row r="192" spans="9:11">
      <c r="I192" s="5"/>
      <c r="K192" s="5"/>
    </row>
    <row r="193" spans="9:11">
      <c r="I193" s="5"/>
      <c r="K193" s="5"/>
    </row>
    <row r="194" spans="9:11">
      <c r="I194" s="5"/>
      <c r="K194" s="5"/>
    </row>
    <row r="195" spans="9:11">
      <c r="I195" s="5"/>
      <c r="K195" s="5"/>
    </row>
    <row r="196" spans="9:11">
      <c r="I196" s="5"/>
      <c r="K196" s="5"/>
    </row>
    <row r="197" spans="9:11">
      <c r="I197" s="5"/>
      <c r="K197" s="5"/>
    </row>
    <row r="198" spans="9:11">
      <c r="I198" s="5"/>
      <c r="K198" s="5"/>
    </row>
    <row r="199" spans="9:11">
      <c r="I199" s="5"/>
      <c r="K199" s="5"/>
    </row>
    <row r="200" spans="9:11">
      <c r="I200" s="5"/>
      <c r="K200" s="5"/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0"/>
  <sheetViews>
    <sheetView tabSelected="1" workbookViewId="0">
      <selection activeCell="H15" sqref="H15"/>
    </sheetView>
  </sheetViews>
  <sheetFormatPr defaultRowHeight="14.25"/>
  <cols>
    <col min="1" max="1" width="14" customWidth="1"/>
    <col min="2" max="2" width="26" customWidth="1"/>
    <col min="3" max="3" width="16" customWidth="1"/>
    <col min="4" max="4" width="20" customWidth="1"/>
    <col min="5" max="5" width="24" customWidth="1"/>
    <col min="6" max="6" width="20" customWidth="1"/>
    <col min="7" max="7" width="38" customWidth="1"/>
    <col min="8" max="8" width="32" customWidth="1"/>
    <col min="9" max="9" width="14" customWidth="1"/>
    <col min="10" max="10" width="8" style="12" customWidth="1"/>
    <col min="11" max="11" width="14" customWidth="1"/>
    <col min="12" max="12" width="38" customWidth="1"/>
    <col min="13" max="13" width="42" customWidth="1"/>
    <col min="14" max="14" width="55" customWidth="1"/>
  </cols>
  <sheetData>
    <row r="1" spans="1:14" ht="18">
      <c r="A1" s="7" t="s">
        <v>588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28.5">
      <c r="A5" s="3" t="s">
        <v>16</v>
      </c>
      <c r="B5" s="3" t="s">
        <v>589</v>
      </c>
      <c r="C5" s="3" t="s">
        <v>590</v>
      </c>
      <c r="D5" s="3" t="s">
        <v>591</v>
      </c>
      <c r="E5" s="3" t="s">
        <v>592</v>
      </c>
      <c r="F5" s="3" t="s">
        <v>590</v>
      </c>
      <c r="G5" s="3" t="s">
        <v>593</v>
      </c>
      <c r="H5" s="3" t="s">
        <v>594</v>
      </c>
      <c r="I5" s="4">
        <v>0</v>
      </c>
      <c r="J5" s="10">
        <v>1</v>
      </c>
      <c r="K5" s="4">
        <f t="shared" ref="K5:K11" si="0">IF(ISNUMBER(I5),I5*J5,"")</f>
        <v>0</v>
      </c>
      <c r="L5" s="3" t="s">
        <v>595</v>
      </c>
      <c r="M5" s="3" t="s">
        <v>596</v>
      </c>
      <c r="N5" s="3"/>
    </row>
    <row r="6" spans="1:14" ht="28.5">
      <c r="A6" s="3" t="s">
        <v>89</v>
      </c>
      <c r="B6" s="3" t="s">
        <v>597</v>
      </c>
      <c r="C6" s="3" t="s">
        <v>63</v>
      </c>
      <c r="D6" s="3" t="s">
        <v>598</v>
      </c>
      <c r="E6" s="3" t="s">
        <v>599</v>
      </c>
      <c r="F6" s="3" t="s">
        <v>600</v>
      </c>
      <c r="G6" s="3" t="s">
        <v>601</v>
      </c>
      <c r="H6" s="3" t="s">
        <v>602</v>
      </c>
      <c r="I6" s="4">
        <v>60</v>
      </c>
      <c r="J6" s="10">
        <v>1</v>
      </c>
      <c r="K6" s="4">
        <f t="shared" si="0"/>
        <v>60</v>
      </c>
      <c r="L6" s="3" t="s">
        <v>603</v>
      </c>
      <c r="M6" s="3" t="s">
        <v>604</v>
      </c>
      <c r="N6" s="3" t="s">
        <v>605</v>
      </c>
    </row>
    <row r="7" spans="1:14" ht="28.5">
      <c r="A7" s="3" t="s">
        <v>89</v>
      </c>
      <c r="B7" s="3" t="s">
        <v>606</v>
      </c>
      <c r="C7" s="3" t="s">
        <v>63</v>
      </c>
      <c r="D7" s="3" t="s">
        <v>598</v>
      </c>
      <c r="E7" s="3" t="s">
        <v>599</v>
      </c>
      <c r="F7" s="3" t="s">
        <v>600</v>
      </c>
      <c r="G7" s="3" t="s">
        <v>607</v>
      </c>
      <c r="H7" s="3" t="s">
        <v>608</v>
      </c>
      <c r="I7" s="4">
        <v>65</v>
      </c>
      <c r="J7" s="10">
        <v>1</v>
      </c>
      <c r="K7" s="4">
        <f t="shared" si="0"/>
        <v>65</v>
      </c>
      <c r="L7" s="3" t="s">
        <v>609</v>
      </c>
      <c r="M7" s="3" t="s">
        <v>610</v>
      </c>
      <c r="N7" s="3" t="s">
        <v>605</v>
      </c>
    </row>
    <row r="8" spans="1:14" ht="28.5">
      <c r="A8" s="3" t="s">
        <v>144</v>
      </c>
      <c r="B8" s="3" t="s">
        <v>611</v>
      </c>
      <c r="C8" s="3" t="s">
        <v>63</v>
      </c>
      <c r="D8" s="3" t="s">
        <v>612</v>
      </c>
      <c r="E8" s="3" t="s">
        <v>599</v>
      </c>
      <c r="F8" s="3" t="s">
        <v>613</v>
      </c>
      <c r="G8" s="3" t="s">
        <v>614</v>
      </c>
      <c r="H8" s="3" t="s">
        <v>615</v>
      </c>
      <c r="I8" s="4">
        <v>89</v>
      </c>
      <c r="J8" s="10">
        <v>1</v>
      </c>
      <c r="K8" s="4">
        <f t="shared" si="0"/>
        <v>89</v>
      </c>
      <c r="L8" s="3" t="s">
        <v>616</v>
      </c>
      <c r="M8" s="3" t="s">
        <v>617</v>
      </c>
      <c r="N8" s="3" t="s">
        <v>618</v>
      </c>
    </row>
    <row r="9" spans="1:14" ht="28.5">
      <c r="A9" s="3" t="s">
        <v>161</v>
      </c>
      <c r="B9" s="3" t="s">
        <v>619</v>
      </c>
      <c r="C9" s="3" t="s">
        <v>620</v>
      </c>
      <c r="D9" s="3" t="s">
        <v>621</v>
      </c>
      <c r="E9" s="3" t="s">
        <v>622</v>
      </c>
      <c r="F9" s="3" t="s">
        <v>623</v>
      </c>
      <c r="G9" s="3" t="s">
        <v>624</v>
      </c>
      <c r="H9" s="3" t="s">
        <v>625</v>
      </c>
      <c r="I9" s="4">
        <v>225</v>
      </c>
      <c r="J9" s="10">
        <v>2</v>
      </c>
      <c r="K9" s="4">
        <f t="shared" si="0"/>
        <v>450</v>
      </c>
      <c r="L9" s="3" t="s">
        <v>626</v>
      </c>
      <c r="M9" s="3" t="s">
        <v>627</v>
      </c>
      <c r="N9" s="3" t="s">
        <v>628</v>
      </c>
    </row>
    <row r="10" spans="1:14" ht="28.5">
      <c r="A10" s="3" t="s">
        <v>161</v>
      </c>
      <c r="B10" s="3" t="s">
        <v>629</v>
      </c>
      <c r="C10" s="3" t="s">
        <v>170</v>
      </c>
      <c r="D10" s="3" t="s">
        <v>630</v>
      </c>
      <c r="E10" s="3" t="s">
        <v>631</v>
      </c>
      <c r="F10" s="3" t="s">
        <v>632</v>
      </c>
      <c r="G10" s="3" t="s">
        <v>633</v>
      </c>
      <c r="H10" s="3" t="s">
        <v>634</v>
      </c>
      <c r="I10" s="4">
        <v>750</v>
      </c>
      <c r="J10" s="10">
        <v>1</v>
      </c>
      <c r="K10" s="4">
        <f t="shared" si="0"/>
        <v>750</v>
      </c>
      <c r="L10" s="3" t="s">
        <v>635</v>
      </c>
      <c r="M10" s="3" t="s">
        <v>636</v>
      </c>
      <c r="N10" s="3" t="s">
        <v>637</v>
      </c>
    </row>
    <row r="11" spans="1:14">
      <c r="I11" s="5"/>
      <c r="K11" s="5" t="str">
        <f t="shared" si="0"/>
        <v/>
      </c>
    </row>
    <row r="12" spans="1:14">
      <c r="I12" s="5"/>
      <c r="K12" s="5"/>
    </row>
    <row r="13" spans="1:14">
      <c r="I13" s="5"/>
      <c r="K13" s="5"/>
    </row>
    <row r="14" spans="1:14">
      <c r="I14" s="5"/>
      <c r="K14" s="5"/>
    </row>
    <row r="15" spans="1:14">
      <c r="I15" s="5"/>
      <c r="K15" s="5"/>
    </row>
    <row r="16" spans="1:14">
      <c r="I16" s="5"/>
      <c r="K16" s="5"/>
    </row>
    <row r="17" spans="9:11">
      <c r="I17" s="5"/>
      <c r="K17" s="5"/>
    </row>
    <row r="18" spans="9:11">
      <c r="I18" s="5"/>
      <c r="K18" s="5"/>
    </row>
    <row r="19" spans="9:11">
      <c r="I19" s="5"/>
      <c r="K19" s="5"/>
    </row>
    <row r="20" spans="9:11">
      <c r="I20" s="5"/>
      <c r="K20" s="5"/>
    </row>
    <row r="21" spans="9:11">
      <c r="I21" s="5"/>
      <c r="K21" s="5"/>
    </row>
    <row r="22" spans="9:11">
      <c r="I22" s="5"/>
      <c r="K22" s="5"/>
    </row>
    <row r="23" spans="9:11">
      <c r="I23" s="5"/>
      <c r="K23" s="5"/>
    </row>
    <row r="24" spans="9:11">
      <c r="I24" s="5"/>
      <c r="K24" s="5"/>
    </row>
    <row r="25" spans="9:11">
      <c r="I25" s="5"/>
      <c r="K25" s="5"/>
    </row>
    <row r="26" spans="9:11">
      <c r="I26" s="5"/>
      <c r="K26" s="5"/>
    </row>
    <row r="27" spans="9:11">
      <c r="I27" s="5"/>
      <c r="K27" s="5"/>
    </row>
    <row r="28" spans="9:11">
      <c r="I28" s="5"/>
      <c r="K28" s="5"/>
    </row>
    <row r="29" spans="9:11">
      <c r="I29" s="5"/>
      <c r="K29" s="5"/>
    </row>
    <row r="30" spans="9:11">
      <c r="I30" s="5"/>
      <c r="K30" s="5"/>
    </row>
    <row r="31" spans="9:11">
      <c r="I31" s="5"/>
      <c r="K31" s="5"/>
    </row>
    <row r="32" spans="9:11">
      <c r="I32" s="5"/>
      <c r="K32" s="5"/>
    </row>
    <row r="33" spans="9:11">
      <c r="I33" s="5"/>
      <c r="K33" s="5"/>
    </row>
    <row r="34" spans="9:11">
      <c r="I34" s="5"/>
      <c r="K34" s="5"/>
    </row>
    <row r="35" spans="9:11">
      <c r="I35" s="5"/>
      <c r="K35" s="5"/>
    </row>
    <row r="36" spans="9:11">
      <c r="I36" s="5"/>
      <c r="K36" s="5"/>
    </row>
    <row r="37" spans="9:11">
      <c r="I37" s="5"/>
      <c r="K37" s="5"/>
    </row>
    <row r="38" spans="9:11">
      <c r="I38" s="5"/>
      <c r="K38" s="5"/>
    </row>
    <row r="39" spans="9:11">
      <c r="I39" s="5"/>
      <c r="K39" s="5"/>
    </row>
    <row r="40" spans="9:11">
      <c r="I40" s="5"/>
      <c r="K40" s="5"/>
    </row>
    <row r="41" spans="9:11">
      <c r="I41" s="5"/>
      <c r="K41" s="5"/>
    </row>
    <row r="42" spans="9:11">
      <c r="I42" s="5"/>
      <c r="K42" s="5"/>
    </row>
    <row r="43" spans="9:11">
      <c r="I43" s="5"/>
      <c r="K43" s="5"/>
    </row>
    <row r="44" spans="9:11">
      <c r="I44" s="5"/>
      <c r="K44" s="5"/>
    </row>
    <row r="45" spans="9:11">
      <c r="I45" s="5"/>
      <c r="K45" s="5"/>
    </row>
    <row r="46" spans="9:11">
      <c r="I46" s="5"/>
      <c r="K46" s="5"/>
    </row>
    <row r="47" spans="9:11">
      <c r="I47" s="5"/>
      <c r="K47" s="5"/>
    </row>
    <row r="48" spans="9:11">
      <c r="I48" s="5"/>
      <c r="K48" s="5"/>
    </row>
    <row r="49" spans="9:11">
      <c r="I49" s="5"/>
      <c r="K49" s="5"/>
    </row>
    <row r="50" spans="9:11">
      <c r="I50" s="5"/>
      <c r="K50" s="5"/>
    </row>
    <row r="51" spans="9:11">
      <c r="I51" s="5"/>
      <c r="K51" s="5"/>
    </row>
    <row r="52" spans="9:11">
      <c r="I52" s="5"/>
      <c r="K52" s="5"/>
    </row>
    <row r="53" spans="9:11">
      <c r="I53" s="5"/>
      <c r="K53" s="5"/>
    </row>
    <row r="54" spans="9:11">
      <c r="I54" s="5"/>
      <c r="K54" s="5"/>
    </row>
    <row r="55" spans="9:11">
      <c r="I55" s="5"/>
      <c r="K55" s="5"/>
    </row>
    <row r="56" spans="9:11">
      <c r="I56" s="5"/>
      <c r="K56" s="5"/>
    </row>
    <row r="57" spans="9:11">
      <c r="I57" s="5"/>
      <c r="K57" s="5"/>
    </row>
    <row r="58" spans="9:11">
      <c r="I58" s="5"/>
      <c r="K58" s="5"/>
    </row>
    <row r="59" spans="9:11">
      <c r="I59" s="5"/>
      <c r="K59" s="5"/>
    </row>
    <row r="60" spans="9:11">
      <c r="I60" s="5"/>
      <c r="K60" s="5"/>
    </row>
    <row r="61" spans="9:11">
      <c r="I61" s="5"/>
      <c r="K61" s="5"/>
    </row>
    <row r="62" spans="9:11">
      <c r="I62" s="5"/>
      <c r="K62" s="5"/>
    </row>
    <row r="63" spans="9:11">
      <c r="I63" s="5"/>
      <c r="K63" s="5"/>
    </row>
    <row r="64" spans="9:11">
      <c r="I64" s="5"/>
      <c r="K64" s="5"/>
    </row>
    <row r="65" spans="9:11">
      <c r="I65" s="5"/>
      <c r="K65" s="5"/>
    </row>
    <row r="66" spans="9:11">
      <c r="I66" s="5"/>
      <c r="K66" s="5"/>
    </row>
    <row r="67" spans="9:11">
      <c r="I67" s="5"/>
      <c r="K67" s="5"/>
    </row>
    <row r="68" spans="9:11">
      <c r="I68" s="5"/>
      <c r="K68" s="5"/>
    </row>
    <row r="69" spans="9:11">
      <c r="I69" s="5"/>
      <c r="K69" s="5"/>
    </row>
    <row r="70" spans="9:11">
      <c r="I70" s="5"/>
      <c r="K70" s="5"/>
    </row>
    <row r="71" spans="9:11">
      <c r="I71" s="5"/>
      <c r="K71" s="5"/>
    </row>
    <row r="72" spans="9:11">
      <c r="I72" s="5"/>
      <c r="K72" s="5"/>
    </row>
    <row r="73" spans="9:11">
      <c r="I73" s="5"/>
      <c r="K73" s="5"/>
    </row>
    <row r="74" spans="9:11">
      <c r="I74" s="5"/>
      <c r="K74" s="5"/>
    </row>
    <row r="75" spans="9:11">
      <c r="I75" s="5"/>
      <c r="K75" s="5"/>
    </row>
    <row r="76" spans="9:11">
      <c r="I76" s="5"/>
      <c r="K76" s="5"/>
    </row>
    <row r="77" spans="9:11">
      <c r="I77" s="5"/>
      <c r="K77" s="5"/>
    </row>
    <row r="78" spans="9:11">
      <c r="I78" s="5"/>
      <c r="K78" s="5"/>
    </row>
    <row r="79" spans="9:11">
      <c r="I79" s="5"/>
      <c r="K79" s="5"/>
    </row>
    <row r="80" spans="9:11">
      <c r="I80" s="5"/>
      <c r="K80" s="5"/>
    </row>
    <row r="81" spans="9:11">
      <c r="I81" s="5"/>
      <c r="K81" s="5"/>
    </row>
    <row r="82" spans="9:11">
      <c r="I82" s="5"/>
      <c r="K82" s="5"/>
    </row>
    <row r="83" spans="9:11">
      <c r="I83" s="5"/>
      <c r="K83" s="5"/>
    </row>
    <row r="84" spans="9:11">
      <c r="I84" s="5"/>
      <c r="K84" s="5"/>
    </row>
    <row r="85" spans="9:11">
      <c r="I85" s="5"/>
      <c r="K85" s="5"/>
    </row>
    <row r="86" spans="9:11">
      <c r="I86" s="5"/>
      <c r="K86" s="5"/>
    </row>
    <row r="87" spans="9:11">
      <c r="I87" s="5"/>
      <c r="K87" s="5"/>
    </row>
    <row r="88" spans="9:11">
      <c r="I88" s="5"/>
      <c r="K88" s="5"/>
    </row>
    <row r="89" spans="9:11">
      <c r="I89" s="5"/>
      <c r="K89" s="5"/>
    </row>
    <row r="90" spans="9:11">
      <c r="I90" s="5"/>
      <c r="K90" s="5"/>
    </row>
    <row r="91" spans="9:11">
      <c r="I91" s="5"/>
      <c r="K91" s="5"/>
    </row>
    <row r="92" spans="9:11">
      <c r="I92" s="5"/>
      <c r="K92" s="5"/>
    </row>
    <row r="93" spans="9:11">
      <c r="I93" s="5"/>
      <c r="K93" s="5"/>
    </row>
    <row r="94" spans="9:11">
      <c r="I94" s="5"/>
      <c r="K94" s="5"/>
    </row>
    <row r="95" spans="9:11">
      <c r="I95" s="5"/>
      <c r="K95" s="5"/>
    </row>
    <row r="96" spans="9:11">
      <c r="I96" s="5"/>
      <c r="K96" s="5"/>
    </row>
    <row r="97" spans="9:11">
      <c r="I97" s="5"/>
      <c r="K97" s="5"/>
    </row>
    <row r="98" spans="9:11">
      <c r="I98" s="5"/>
      <c r="K98" s="5"/>
    </row>
    <row r="99" spans="9:11">
      <c r="I99" s="5"/>
      <c r="K99" s="5"/>
    </row>
    <row r="100" spans="9:11">
      <c r="I100" s="5"/>
      <c r="K100" s="5"/>
    </row>
    <row r="101" spans="9:11">
      <c r="I101" s="5"/>
      <c r="K101" s="5"/>
    </row>
    <row r="102" spans="9:11">
      <c r="I102" s="5"/>
      <c r="K102" s="5"/>
    </row>
    <row r="103" spans="9:11">
      <c r="I103" s="5"/>
      <c r="K103" s="5"/>
    </row>
    <row r="104" spans="9:11">
      <c r="I104" s="5"/>
      <c r="K104" s="5"/>
    </row>
    <row r="105" spans="9:11">
      <c r="I105" s="5"/>
      <c r="K105" s="5"/>
    </row>
    <row r="106" spans="9:11">
      <c r="I106" s="5"/>
      <c r="K106" s="5"/>
    </row>
    <row r="107" spans="9:11">
      <c r="I107" s="5"/>
      <c r="K107" s="5"/>
    </row>
    <row r="108" spans="9:11">
      <c r="I108" s="5"/>
      <c r="K108" s="5"/>
    </row>
    <row r="109" spans="9:11">
      <c r="I109" s="5"/>
      <c r="K109" s="5"/>
    </row>
    <row r="110" spans="9:11">
      <c r="I110" s="5"/>
      <c r="K110" s="5"/>
    </row>
    <row r="111" spans="9:11">
      <c r="I111" s="5"/>
      <c r="K111" s="5"/>
    </row>
    <row r="112" spans="9:11">
      <c r="I112" s="5"/>
      <c r="K112" s="5"/>
    </row>
    <row r="113" spans="9:11">
      <c r="I113" s="5"/>
      <c r="K113" s="5"/>
    </row>
    <row r="114" spans="9:11">
      <c r="I114" s="5"/>
      <c r="K114" s="5"/>
    </row>
    <row r="115" spans="9:11">
      <c r="I115" s="5"/>
      <c r="K115" s="5"/>
    </row>
    <row r="116" spans="9:11">
      <c r="I116" s="5"/>
      <c r="K116" s="5"/>
    </row>
    <row r="117" spans="9:11">
      <c r="I117" s="5"/>
      <c r="K117" s="5"/>
    </row>
    <row r="118" spans="9:11">
      <c r="I118" s="5"/>
      <c r="K118" s="5"/>
    </row>
    <row r="119" spans="9:11">
      <c r="I119" s="5"/>
      <c r="K119" s="5"/>
    </row>
    <row r="120" spans="9:11">
      <c r="I120" s="5"/>
      <c r="K120" s="5"/>
    </row>
    <row r="121" spans="9:11">
      <c r="I121" s="5"/>
      <c r="K121" s="5"/>
    </row>
    <row r="122" spans="9:11">
      <c r="I122" s="5"/>
      <c r="K122" s="5"/>
    </row>
    <row r="123" spans="9:11">
      <c r="I123" s="5"/>
      <c r="K123" s="5"/>
    </row>
    <row r="124" spans="9:11">
      <c r="I124" s="5"/>
      <c r="K124" s="5"/>
    </row>
    <row r="125" spans="9:11">
      <c r="I125" s="5"/>
      <c r="K125" s="5"/>
    </row>
    <row r="126" spans="9:11">
      <c r="I126" s="5"/>
      <c r="K126" s="5"/>
    </row>
    <row r="127" spans="9:11">
      <c r="I127" s="5"/>
      <c r="K127" s="5"/>
    </row>
    <row r="128" spans="9:11">
      <c r="I128" s="5"/>
      <c r="K128" s="5"/>
    </row>
    <row r="129" spans="9:11">
      <c r="I129" s="5"/>
      <c r="K129" s="5"/>
    </row>
    <row r="130" spans="9:11">
      <c r="I130" s="5"/>
      <c r="K130" s="5"/>
    </row>
    <row r="131" spans="9:11">
      <c r="I131" s="5"/>
      <c r="K131" s="5"/>
    </row>
    <row r="132" spans="9:11">
      <c r="I132" s="5"/>
      <c r="K132" s="5"/>
    </row>
    <row r="133" spans="9:11">
      <c r="I133" s="5"/>
      <c r="K133" s="5"/>
    </row>
    <row r="134" spans="9:11">
      <c r="I134" s="5"/>
      <c r="K134" s="5"/>
    </row>
    <row r="135" spans="9:11">
      <c r="I135" s="5"/>
      <c r="K135" s="5"/>
    </row>
    <row r="136" spans="9:11">
      <c r="I136" s="5"/>
      <c r="K136" s="5"/>
    </row>
    <row r="137" spans="9:11">
      <c r="I137" s="5"/>
      <c r="K137" s="5"/>
    </row>
    <row r="138" spans="9:11">
      <c r="I138" s="5"/>
      <c r="K138" s="5"/>
    </row>
    <row r="139" spans="9:11">
      <c r="I139" s="5"/>
      <c r="K139" s="5"/>
    </row>
    <row r="140" spans="9:11">
      <c r="I140" s="5"/>
      <c r="K140" s="5"/>
    </row>
    <row r="141" spans="9:11">
      <c r="I141" s="5"/>
      <c r="K141" s="5"/>
    </row>
    <row r="142" spans="9:11">
      <c r="I142" s="5"/>
      <c r="K142" s="5"/>
    </row>
    <row r="143" spans="9:11">
      <c r="I143" s="5"/>
      <c r="K143" s="5"/>
    </row>
    <row r="144" spans="9:11">
      <c r="I144" s="5"/>
      <c r="K144" s="5"/>
    </row>
    <row r="145" spans="9:11">
      <c r="I145" s="5"/>
      <c r="K145" s="5"/>
    </row>
    <row r="146" spans="9:11">
      <c r="I146" s="5"/>
      <c r="K146" s="5"/>
    </row>
    <row r="147" spans="9:11">
      <c r="I147" s="5"/>
      <c r="K147" s="5"/>
    </row>
    <row r="148" spans="9:11">
      <c r="I148" s="5"/>
      <c r="K148" s="5"/>
    </row>
    <row r="149" spans="9:11">
      <c r="I149" s="5"/>
      <c r="K149" s="5"/>
    </row>
    <row r="150" spans="9:11">
      <c r="I150" s="5"/>
      <c r="K150" s="5"/>
    </row>
    <row r="151" spans="9:11">
      <c r="I151" s="5"/>
      <c r="K151" s="5"/>
    </row>
    <row r="152" spans="9:11">
      <c r="I152" s="5"/>
      <c r="K152" s="5"/>
    </row>
    <row r="153" spans="9:11">
      <c r="I153" s="5"/>
      <c r="K153" s="5"/>
    </row>
    <row r="154" spans="9:11">
      <c r="I154" s="5"/>
      <c r="K154" s="5"/>
    </row>
    <row r="155" spans="9:11">
      <c r="I155" s="5"/>
      <c r="K155" s="5"/>
    </row>
    <row r="156" spans="9:11">
      <c r="I156" s="5"/>
      <c r="K156" s="5"/>
    </row>
    <row r="157" spans="9:11">
      <c r="I157" s="5"/>
      <c r="K157" s="5"/>
    </row>
    <row r="158" spans="9:11">
      <c r="I158" s="5"/>
      <c r="K158" s="5"/>
    </row>
    <row r="159" spans="9:11">
      <c r="I159" s="5"/>
      <c r="K159" s="5"/>
    </row>
    <row r="160" spans="9:11">
      <c r="I160" s="5"/>
      <c r="K160" s="5"/>
    </row>
    <row r="161" spans="9:11">
      <c r="I161" s="5"/>
      <c r="K161" s="5"/>
    </row>
    <row r="162" spans="9:11">
      <c r="I162" s="5"/>
      <c r="K162" s="5"/>
    </row>
    <row r="163" spans="9:11">
      <c r="I163" s="5"/>
      <c r="K163" s="5"/>
    </row>
    <row r="164" spans="9:11">
      <c r="I164" s="5"/>
      <c r="K164" s="5"/>
    </row>
    <row r="165" spans="9:11">
      <c r="I165" s="5"/>
      <c r="K165" s="5"/>
    </row>
    <row r="166" spans="9:11">
      <c r="I166" s="5"/>
      <c r="K166" s="5"/>
    </row>
    <row r="167" spans="9:11">
      <c r="I167" s="5"/>
      <c r="K167" s="5"/>
    </row>
    <row r="168" spans="9:11">
      <c r="I168" s="5"/>
      <c r="K168" s="5"/>
    </row>
    <row r="169" spans="9:11">
      <c r="I169" s="5"/>
      <c r="K169" s="5"/>
    </row>
    <row r="170" spans="9:11">
      <c r="I170" s="5"/>
      <c r="K170" s="5"/>
    </row>
    <row r="171" spans="9:11">
      <c r="I171" s="5"/>
      <c r="K171" s="5"/>
    </row>
    <row r="172" spans="9:11">
      <c r="I172" s="5"/>
      <c r="K172" s="5"/>
    </row>
    <row r="173" spans="9:11">
      <c r="I173" s="5"/>
      <c r="K173" s="5"/>
    </row>
    <row r="174" spans="9:11">
      <c r="I174" s="5"/>
      <c r="K174" s="5"/>
    </row>
    <row r="175" spans="9:11">
      <c r="I175" s="5"/>
      <c r="K175" s="5"/>
    </row>
    <row r="176" spans="9:11">
      <c r="I176" s="5"/>
      <c r="K176" s="5"/>
    </row>
    <row r="177" spans="9:11">
      <c r="I177" s="5"/>
      <c r="K177" s="5"/>
    </row>
    <row r="178" spans="9:11">
      <c r="I178" s="5"/>
      <c r="K178" s="5"/>
    </row>
    <row r="179" spans="9:11">
      <c r="I179" s="5"/>
      <c r="K179" s="5"/>
    </row>
    <row r="180" spans="9:11">
      <c r="I180" s="5"/>
      <c r="K180" s="5"/>
    </row>
    <row r="181" spans="9:11">
      <c r="I181" s="5"/>
      <c r="K181" s="5"/>
    </row>
    <row r="182" spans="9:11">
      <c r="I182" s="5"/>
      <c r="K182" s="5"/>
    </row>
    <row r="183" spans="9:11">
      <c r="I183" s="5"/>
      <c r="K183" s="5"/>
    </row>
    <row r="184" spans="9:11">
      <c r="I184" s="5"/>
      <c r="K184" s="5"/>
    </row>
    <row r="185" spans="9:11">
      <c r="I185" s="5"/>
      <c r="K185" s="5"/>
    </row>
    <row r="186" spans="9:11">
      <c r="I186" s="5"/>
      <c r="K186" s="5"/>
    </row>
    <row r="187" spans="9:11">
      <c r="I187" s="5"/>
      <c r="K187" s="5"/>
    </row>
    <row r="188" spans="9:11">
      <c r="I188" s="5"/>
      <c r="K188" s="5"/>
    </row>
    <row r="189" spans="9:11">
      <c r="I189" s="5"/>
      <c r="K189" s="5"/>
    </row>
    <row r="190" spans="9:11">
      <c r="I190" s="5"/>
      <c r="K190" s="5"/>
    </row>
    <row r="191" spans="9:11">
      <c r="I191" s="5"/>
      <c r="K191" s="5"/>
    </row>
    <row r="192" spans="9:11">
      <c r="I192" s="5"/>
      <c r="K192" s="5"/>
    </row>
    <row r="193" spans="9:11">
      <c r="I193" s="5"/>
      <c r="K193" s="5"/>
    </row>
    <row r="194" spans="9:11">
      <c r="I194" s="5"/>
      <c r="K194" s="5"/>
    </row>
    <row r="195" spans="9:11">
      <c r="I195" s="5"/>
      <c r="K195" s="5"/>
    </row>
    <row r="196" spans="9:11">
      <c r="I196" s="5"/>
      <c r="K196" s="5"/>
    </row>
    <row r="197" spans="9:11">
      <c r="I197" s="5"/>
      <c r="K197" s="5"/>
    </row>
    <row r="198" spans="9:11">
      <c r="I198" s="5"/>
      <c r="K198" s="5"/>
    </row>
    <row r="199" spans="9:11">
      <c r="I199" s="5"/>
      <c r="K199" s="5"/>
    </row>
    <row r="200" spans="9:11">
      <c r="I200" s="5"/>
      <c r="K200" s="5"/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200"/>
  <sheetViews>
    <sheetView workbookViewId="0">
      <selection activeCell="J3" sqref="J1:J1048576"/>
    </sheetView>
  </sheetViews>
  <sheetFormatPr defaultRowHeight="14.25"/>
  <cols>
    <col min="1" max="1" width="14" customWidth="1"/>
    <col min="2" max="2" width="26" customWidth="1"/>
    <col min="3" max="3" width="16" customWidth="1"/>
    <col min="4" max="4" width="20" customWidth="1"/>
    <col min="5" max="5" width="24" customWidth="1"/>
    <col min="6" max="6" width="20" customWidth="1"/>
    <col min="7" max="7" width="38" customWidth="1"/>
    <col min="8" max="8" width="32" customWidth="1"/>
    <col min="9" max="9" width="14" customWidth="1"/>
    <col min="10" max="10" width="8" style="12" customWidth="1"/>
    <col min="11" max="11" width="14" customWidth="1"/>
    <col min="12" max="12" width="38" customWidth="1"/>
    <col min="13" max="13" width="42" customWidth="1"/>
    <col min="14" max="14" width="55" customWidth="1"/>
  </cols>
  <sheetData>
    <row r="1" spans="1:14" ht="18">
      <c r="A1" s="7" t="s">
        <v>638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28.5">
      <c r="A5" s="3" t="s">
        <v>16</v>
      </c>
      <c r="B5" s="3" t="s">
        <v>639</v>
      </c>
      <c r="C5" s="3" t="s">
        <v>640</v>
      </c>
      <c r="D5" s="3" t="s">
        <v>641</v>
      </c>
      <c r="E5" s="3" t="s">
        <v>642</v>
      </c>
      <c r="F5" s="3" t="s">
        <v>482</v>
      </c>
      <c r="G5" s="3" t="s">
        <v>643</v>
      </c>
      <c r="H5" s="3" t="s">
        <v>644</v>
      </c>
      <c r="I5" s="4">
        <v>35</v>
      </c>
      <c r="J5" s="10">
        <v>1</v>
      </c>
      <c r="K5" s="4">
        <f t="shared" ref="K5:K10" si="0">IF(ISNUMBER(I5),I5*J5,"")</f>
        <v>35</v>
      </c>
      <c r="L5" s="3" t="s">
        <v>645</v>
      </c>
      <c r="M5" s="3" t="s">
        <v>646</v>
      </c>
      <c r="N5" s="3" t="s">
        <v>647</v>
      </c>
    </row>
    <row r="6" spans="1:14" ht="28.5">
      <c r="A6" s="3" t="s">
        <v>16</v>
      </c>
      <c r="B6" s="3" t="s">
        <v>648</v>
      </c>
      <c r="C6" s="3" t="s">
        <v>36</v>
      </c>
      <c r="D6" s="3" t="s">
        <v>641</v>
      </c>
      <c r="E6" s="3" t="s">
        <v>649</v>
      </c>
      <c r="F6" s="3" t="s">
        <v>650</v>
      </c>
      <c r="G6" s="3" t="s">
        <v>651</v>
      </c>
      <c r="H6" s="3" t="s">
        <v>652</v>
      </c>
      <c r="I6" s="4">
        <v>50</v>
      </c>
      <c r="J6" s="10">
        <v>1</v>
      </c>
      <c r="K6" s="4">
        <f t="shared" si="0"/>
        <v>50</v>
      </c>
      <c r="L6" s="3" t="s">
        <v>653</v>
      </c>
      <c r="M6" s="3" t="s">
        <v>654</v>
      </c>
      <c r="N6" s="3" t="s">
        <v>655</v>
      </c>
    </row>
    <row r="7" spans="1:14" ht="28.5">
      <c r="A7" s="3" t="s">
        <v>89</v>
      </c>
      <c r="B7" s="3" t="s">
        <v>656</v>
      </c>
      <c r="C7" s="3" t="s">
        <v>63</v>
      </c>
      <c r="D7" s="3" t="s">
        <v>641</v>
      </c>
      <c r="E7" s="3" t="s">
        <v>657</v>
      </c>
      <c r="F7" s="3" t="s">
        <v>658</v>
      </c>
      <c r="G7" s="3" t="s">
        <v>659</v>
      </c>
      <c r="H7" s="3" t="s">
        <v>660</v>
      </c>
      <c r="I7" s="4">
        <v>60</v>
      </c>
      <c r="J7" s="10">
        <v>1</v>
      </c>
      <c r="K7" s="4">
        <f t="shared" si="0"/>
        <v>60</v>
      </c>
      <c r="L7" s="3" t="s">
        <v>661</v>
      </c>
      <c r="M7" s="3" t="s">
        <v>662</v>
      </c>
      <c r="N7" s="3" t="s">
        <v>663</v>
      </c>
    </row>
    <row r="8" spans="1:14" ht="28.5">
      <c r="A8" s="3" t="s">
        <v>89</v>
      </c>
      <c r="B8" s="3" t="s">
        <v>664</v>
      </c>
      <c r="C8" s="3" t="s">
        <v>665</v>
      </c>
      <c r="D8" s="3" t="s">
        <v>641</v>
      </c>
      <c r="E8" s="3" t="s">
        <v>649</v>
      </c>
      <c r="F8" s="3" t="s">
        <v>482</v>
      </c>
      <c r="G8" s="3" t="s">
        <v>666</v>
      </c>
      <c r="H8" s="3" t="s">
        <v>667</v>
      </c>
      <c r="I8" s="4">
        <v>50</v>
      </c>
      <c r="J8" s="10">
        <v>1</v>
      </c>
      <c r="K8" s="4">
        <f t="shared" si="0"/>
        <v>50</v>
      </c>
      <c r="L8" s="3" t="s">
        <v>668</v>
      </c>
      <c r="M8" s="3" t="s">
        <v>669</v>
      </c>
      <c r="N8" s="3" t="s">
        <v>670</v>
      </c>
    </row>
    <row r="9" spans="1:14" ht="28.5">
      <c r="A9" s="3" t="s">
        <v>144</v>
      </c>
      <c r="B9" s="3" t="s">
        <v>671</v>
      </c>
      <c r="C9" s="3" t="s">
        <v>36</v>
      </c>
      <c r="D9" s="3" t="s">
        <v>672</v>
      </c>
      <c r="E9" s="3" t="s">
        <v>673</v>
      </c>
      <c r="F9" s="3" t="s">
        <v>674</v>
      </c>
      <c r="G9" s="3" t="s">
        <v>675</v>
      </c>
      <c r="H9" s="3" t="s">
        <v>676</v>
      </c>
      <c r="I9" s="4">
        <v>110</v>
      </c>
      <c r="J9" s="10">
        <v>1</v>
      </c>
      <c r="K9" s="4">
        <f t="shared" si="0"/>
        <v>110</v>
      </c>
      <c r="L9" s="3" t="s">
        <v>677</v>
      </c>
      <c r="M9" s="3" t="s">
        <v>678</v>
      </c>
      <c r="N9" s="3" t="s">
        <v>679</v>
      </c>
    </row>
    <row r="10" spans="1:14">
      <c r="I10" s="5"/>
      <c r="K10" s="5" t="str">
        <f t="shared" si="0"/>
        <v/>
      </c>
    </row>
    <row r="11" spans="1:14">
      <c r="I11" s="5"/>
      <c r="K11" s="5"/>
    </row>
    <row r="12" spans="1:14">
      <c r="I12" s="5"/>
      <c r="K12" s="5"/>
    </row>
    <row r="13" spans="1:14">
      <c r="I13" s="5"/>
      <c r="K13" s="5"/>
    </row>
    <row r="14" spans="1:14">
      <c r="I14" s="5"/>
      <c r="K14" s="5"/>
    </row>
    <row r="15" spans="1:14">
      <c r="I15" s="5"/>
      <c r="K15" s="5"/>
    </row>
    <row r="16" spans="1:14">
      <c r="I16" s="5"/>
      <c r="K16" s="5"/>
    </row>
    <row r="17" spans="9:11">
      <c r="I17" s="5"/>
      <c r="K17" s="5"/>
    </row>
    <row r="18" spans="9:11">
      <c r="I18" s="5"/>
      <c r="K18" s="5"/>
    </row>
    <row r="19" spans="9:11">
      <c r="I19" s="5"/>
      <c r="K19" s="5"/>
    </row>
    <row r="20" spans="9:11">
      <c r="I20" s="5"/>
      <c r="K20" s="5"/>
    </row>
    <row r="21" spans="9:11">
      <c r="I21" s="5"/>
      <c r="K21" s="5"/>
    </row>
    <row r="22" spans="9:11">
      <c r="I22" s="5"/>
      <c r="K22" s="5"/>
    </row>
    <row r="23" spans="9:11">
      <c r="I23" s="5"/>
      <c r="K23" s="5"/>
    </row>
    <row r="24" spans="9:11">
      <c r="I24" s="5"/>
      <c r="K24" s="5"/>
    </row>
    <row r="25" spans="9:11">
      <c r="I25" s="5"/>
      <c r="K25" s="5"/>
    </row>
    <row r="26" spans="9:11">
      <c r="I26" s="5"/>
      <c r="K26" s="5"/>
    </row>
    <row r="27" spans="9:11">
      <c r="I27" s="5"/>
      <c r="K27" s="5"/>
    </row>
    <row r="28" spans="9:11">
      <c r="I28" s="5"/>
      <c r="K28" s="5"/>
    </row>
    <row r="29" spans="9:11">
      <c r="I29" s="5"/>
      <c r="K29" s="5"/>
    </row>
    <row r="30" spans="9:11">
      <c r="I30" s="5"/>
      <c r="K30" s="5"/>
    </row>
    <row r="31" spans="9:11">
      <c r="I31" s="5"/>
      <c r="K31" s="5"/>
    </row>
    <row r="32" spans="9:11">
      <c r="I32" s="5"/>
      <c r="K32" s="5"/>
    </row>
    <row r="33" spans="9:11">
      <c r="I33" s="5"/>
      <c r="K33" s="5"/>
    </row>
    <row r="34" spans="9:11">
      <c r="I34" s="5"/>
      <c r="K34" s="5"/>
    </row>
    <row r="35" spans="9:11">
      <c r="I35" s="5"/>
      <c r="K35" s="5"/>
    </row>
    <row r="36" spans="9:11">
      <c r="I36" s="5"/>
      <c r="K36" s="5"/>
    </row>
    <row r="37" spans="9:11">
      <c r="I37" s="5"/>
      <c r="K37" s="5"/>
    </row>
    <row r="38" spans="9:11">
      <c r="I38" s="5"/>
      <c r="K38" s="5"/>
    </row>
    <row r="39" spans="9:11">
      <c r="I39" s="5"/>
      <c r="K39" s="5"/>
    </row>
    <row r="40" spans="9:11">
      <c r="I40" s="5"/>
      <c r="K40" s="5"/>
    </row>
    <row r="41" spans="9:11">
      <c r="I41" s="5"/>
      <c r="K41" s="5"/>
    </row>
    <row r="42" spans="9:11">
      <c r="I42" s="5"/>
      <c r="K42" s="5"/>
    </row>
    <row r="43" spans="9:11">
      <c r="I43" s="5"/>
      <c r="K43" s="5"/>
    </row>
    <row r="44" spans="9:11">
      <c r="I44" s="5"/>
      <c r="K44" s="5"/>
    </row>
    <row r="45" spans="9:11">
      <c r="I45" s="5"/>
      <c r="K45" s="5"/>
    </row>
    <row r="46" spans="9:11">
      <c r="I46" s="5"/>
      <c r="K46" s="5"/>
    </row>
    <row r="47" spans="9:11">
      <c r="I47" s="5"/>
      <c r="K47" s="5"/>
    </row>
    <row r="48" spans="9:11">
      <c r="I48" s="5"/>
      <c r="K48" s="5"/>
    </row>
    <row r="49" spans="9:11">
      <c r="I49" s="5"/>
      <c r="K49" s="5"/>
    </row>
    <row r="50" spans="9:11">
      <c r="I50" s="5"/>
      <c r="K50" s="5"/>
    </row>
    <row r="51" spans="9:11">
      <c r="I51" s="5"/>
      <c r="K51" s="5"/>
    </row>
    <row r="52" spans="9:11">
      <c r="I52" s="5"/>
      <c r="K52" s="5"/>
    </row>
    <row r="53" spans="9:11">
      <c r="I53" s="5"/>
      <c r="K53" s="5"/>
    </row>
    <row r="54" spans="9:11">
      <c r="I54" s="5"/>
      <c r="K54" s="5"/>
    </row>
    <row r="55" spans="9:11">
      <c r="I55" s="5"/>
      <c r="K55" s="5"/>
    </row>
    <row r="56" spans="9:11">
      <c r="I56" s="5"/>
      <c r="K56" s="5"/>
    </row>
    <row r="57" spans="9:11">
      <c r="I57" s="5"/>
      <c r="K57" s="5"/>
    </row>
    <row r="58" spans="9:11">
      <c r="I58" s="5"/>
      <c r="K58" s="5"/>
    </row>
    <row r="59" spans="9:11">
      <c r="I59" s="5"/>
      <c r="K59" s="5"/>
    </row>
    <row r="60" spans="9:11">
      <c r="I60" s="5"/>
      <c r="K60" s="5"/>
    </row>
    <row r="61" spans="9:11">
      <c r="I61" s="5"/>
      <c r="K61" s="5"/>
    </row>
    <row r="62" spans="9:11">
      <c r="I62" s="5"/>
      <c r="K62" s="5"/>
    </row>
    <row r="63" spans="9:11">
      <c r="I63" s="5"/>
      <c r="K63" s="5"/>
    </row>
    <row r="64" spans="9:11">
      <c r="I64" s="5"/>
      <c r="K64" s="5"/>
    </row>
    <row r="65" spans="9:11">
      <c r="I65" s="5"/>
      <c r="K65" s="5"/>
    </row>
    <row r="66" spans="9:11">
      <c r="I66" s="5"/>
      <c r="K66" s="5"/>
    </row>
    <row r="67" spans="9:11">
      <c r="I67" s="5"/>
      <c r="K67" s="5"/>
    </row>
    <row r="68" spans="9:11">
      <c r="I68" s="5"/>
      <c r="K68" s="5"/>
    </row>
    <row r="69" spans="9:11">
      <c r="I69" s="5"/>
      <c r="K69" s="5"/>
    </row>
    <row r="70" spans="9:11">
      <c r="I70" s="5"/>
      <c r="K70" s="5"/>
    </row>
    <row r="71" spans="9:11">
      <c r="I71" s="5"/>
      <c r="K71" s="5"/>
    </row>
    <row r="72" spans="9:11">
      <c r="I72" s="5"/>
      <c r="K72" s="5"/>
    </row>
    <row r="73" spans="9:11">
      <c r="I73" s="5"/>
      <c r="K73" s="5"/>
    </row>
    <row r="74" spans="9:11">
      <c r="I74" s="5"/>
      <c r="K74" s="5"/>
    </row>
    <row r="75" spans="9:11">
      <c r="I75" s="5"/>
      <c r="K75" s="5"/>
    </row>
    <row r="76" spans="9:11">
      <c r="I76" s="5"/>
      <c r="K76" s="5"/>
    </row>
    <row r="77" spans="9:11">
      <c r="I77" s="5"/>
      <c r="K77" s="5"/>
    </row>
    <row r="78" spans="9:11">
      <c r="I78" s="5"/>
      <c r="K78" s="5"/>
    </row>
    <row r="79" spans="9:11">
      <c r="I79" s="5"/>
      <c r="K79" s="5"/>
    </row>
    <row r="80" spans="9:11">
      <c r="I80" s="5"/>
      <c r="K80" s="5"/>
    </row>
    <row r="81" spans="9:11">
      <c r="I81" s="5"/>
      <c r="K81" s="5"/>
    </row>
    <row r="82" spans="9:11">
      <c r="I82" s="5"/>
      <c r="K82" s="5"/>
    </row>
    <row r="83" spans="9:11">
      <c r="I83" s="5"/>
      <c r="K83" s="5"/>
    </row>
    <row r="84" spans="9:11">
      <c r="I84" s="5"/>
      <c r="K84" s="5"/>
    </row>
    <row r="85" spans="9:11">
      <c r="I85" s="5"/>
      <c r="K85" s="5"/>
    </row>
    <row r="86" spans="9:11">
      <c r="I86" s="5"/>
      <c r="K86" s="5"/>
    </row>
    <row r="87" spans="9:11">
      <c r="I87" s="5"/>
      <c r="K87" s="5"/>
    </row>
    <row r="88" spans="9:11">
      <c r="I88" s="5"/>
      <c r="K88" s="5"/>
    </row>
    <row r="89" spans="9:11">
      <c r="I89" s="5"/>
      <c r="K89" s="5"/>
    </row>
    <row r="90" spans="9:11">
      <c r="I90" s="5"/>
      <c r="K90" s="5"/>
    </row>
    <row r="91" spans="9:11">
      <c r="I91" s="5"/>
      <c r="K91" s="5"/>
    </row>
    <row r="92" spans="9:11">
      <c r="I92" s="5"/>
      <c r="K92" s="5"/>
    </row>
    <row r="93" spans="9:11">
      <c r="I93" s="5"/>
      <c r="K93" s="5"/>
    </row>
    <row r="94" spans="9:11">
      <c r="I94" s="5"/>
      <c r="K94" s="5"/>
    </row>
    <row r="95" spans="9:11">
      <c r="I95" s="5"/>
      <c r="K95" s="5"/>
    </row>
    <row r="96" spans="9:11">
      <c r="I96" s="5"/>
      <c r="K96" s="5"/>
    </row>
    <row r="97" spans="9:11">
      <c r="I97" s="5"/>
      <c r="K97" s="5"/>
    </row>
    <row r="98" spans="9:11">
      <c r="I98" s="5"/>
      <c r="K98" s="5"/>
    </row>
    <row r="99" spans="9:11">
      <c r="I99" s="5"/>
      <c r="K99" s="5"/>
    </row>
    <row r="100" spans="9:11">
      <c r="I100" s="5"/>
      <c r="K100" s="5"/>
    </row>
    <row r="101" spans="9:11">
      <c r="I101" s="5"/>
      <c r="K101" s="5"/>
    </row>
    <row r="102" spans="9:11">
      <c r="I102" s="5"/>
      <c r="K102" s="5"/>
    </row>
    <row r="103" spans="9:11">
      <c r="I103" s="5"/>
      <c r="K103" s="5"/>
    </row>
    <row r="104" spans="9:11">
      <c r="I104" s="5"/>
      <c r="K104" s="5"/>
    </row>
    <row r="105" spans="9:11">
      <c r="I105" s="5"/>
      <c r="K105" s="5"/>
    </row>
    <row r="106" spans="9:11">
      <c r="I106" s="5"/>
      <c r="K106" s="5"/>
    </row>
    <row r="107" spans="9:11">
      <c r="I107" s="5"/>
      <c r="K107" s="5"/>
    </row>
    <row r="108" spans="9:11">
      <c r="I108" s="5"/>
      <c r="K108" s="5"/>
    </row>
    <row r="109" spans="9:11">
      <c r="I109" s="5"/>
      <c r="K109" s="5"/>
    </row>
    <row r="110" spans="9:11">
      <c r="I110" s="5"/>
      <c r="K110" s="5"/>
    </row>
    <row r="111" spans="9:11">
      <c r="I111" s="5"/>
      <c r="K111" s="5"/>
    </row>
    <row r="112" spans="9:11">
      <c r="I112" s="5"/>
      <c r="K112" s="5"/>
    </row>
    <row r="113" spans="9:11">
      <c r="I113" s="5"/>
      <c r="K113" s="5"/>
    </row>
    <row r="114" spans="9:11">
      <c r="I114" s="5"/>
      <c r="K114" s="5"/>
    </row>
    <row r="115" spans="9:11">
      <c r="I115" s="5"/>
      <c r="K115" s="5"/>
    </row>
    <row r="116" spans="9:11">
      <c r="I116" s="5"/>
      <c r="K116" s="5"/>
    </row>
    <row r="117" spans="9:11">
      <c r="I117" s="5"/>
      <c r="K117" s="5"/>
    </row>
    <row r="118" spans="9:11">
      <c r="I118" s="5"/>
      <c r="K118" s="5"/>
    </row>
    <row r="119" spans="9:11">
      <c r="I119" s="5"/>
      <c r="K119" s="5"/>
    </row>
    <row r="120" spans="9:11">
      <c r="I120" s="5"/>
      <c r="K120" s="5"/>
    </row>
    <row r="121" spans="9:11">
      <c r="I121" s="5"/>
      <c r="K121" s="5"/>
    </row>
    <row r="122" spans="9:11">
      <c r="I122" s="5"/>
      <c r="K122" s="5"/>
    </row>
    <row r="123" spans="9:11">
      <c r="I123" s="5"/>
      <c r="K123" s="5"/>
    </row>
    <row r="124" spans="9:11">
      <c r="I124" s="5"/>
      <c r="K124" s="5"/>
    </row>
    <row r="125" spans="9:11">
      <c r="I125" s="5"/>
      <c r="K125" s="5"/>
    </row>
    <row r="126" spans="9:11">
      <c r="I126" s="5"/>
      <c r="K126" s="5"/>
    </row>
    <row r="127" spans="9:11">
      <c r="I127" s="5"/>
      <c r="K127" s="5"/>
    </row>
    <row r="128" spans="9:11">
      <c r="I128" s="5"/>
      <c r="K128" s="5"/>
    </row>
    <row r="129" spans="9:11">
      <c r="I129" s="5"/>
      <c r="K129" s="5"/>
    </row>
    <row r="130" spans="9:11">
      <c r="I130" s="5"/>
      <c r="K130" s="5"/>
    </row>
    <row r="131" spans="9:11">
      <c r="I131" s="5"/>
      <c r="K131" s="5"/>
    </row>
    <row r="132" spans="9:11">
      <c r="I132" s="5"/>
      <c r="K132" s="5"/>
    </row>
    <row r="133" spans="9:11">
      <c r="I133" s="5"/>
      <c r="K133" s="5"/>
    </row>
    <row r="134" spans="9:11">
      <c r="I134" s="5"/>
      <c r="K134" s="5"/>
    </row>
    <row r="135" spans="9:11">
      <c r="I135" s="5"/>
      <c r="K135" s="5"/>
    </row>
    <row r="136" spans="9:11">
      <c r="I136" s="5"/>
      <c r="K136" s="5"/>
    </row>
    <row r="137" spans="9:11">
      <c r="I137" s="5"/>
      <c r="K137" s="5"/>
    </row>
    <row r="138" spans="9:11">
      <c r="I138" s="5"/>
      <c r="K138" s="5"/>
    </row>
    <row r="139" spans="9:11">
      <c r="I139" s="5"/>
      <c r="K139" s="5"/>
    </row>
    <row r="140" spans="9:11">
      <c r="I140" s="5"/>
      <c r="K140" s="5"/>
    </row>
    <row r="141" spans="9:11">
      <c r="I141" s="5"/>
      <c r="K141" s="5"/>
    </row>
    <row r="142" spans="9:11">
      <c r="I142" s="5"/>
      <c r="K142" s="5"/>
    </row>
    <row r="143" spans="9:11">
      <c r="I143" s="5"/>
      <c r="K143" s="5"/>
    </row>
    <row r="144" spans="9:11">
      <c r="I144" s="5"/>
      <c r="K144" s="5"/>
    </row>
    <row r="145" spans="9:11">
      <c r="I145" s="5"/>
      <c r="K145" s="5"/>
    </row>
    <row r="146" spans="9:11">
      <c r="I146" s="5"/>
      <c r="K146" s="5"/>
    </row>
    <row r="147" spans="9:11">
      <c r="I147" s="5"/>
      <c r="K147" s="5"/>
    </row>
    <row r="148" spans="9:11">
      <c r="I148" s="5"/>
      <c r="K148" s="5"/>
    </row>
    <row r="149" spans="9:11">
      <c r="I149" s="5"/>
      <c r="K149" s="5"/>
    </row>
    <row r="150" spans="9:11">
      <c r="I150" s="5"/>
      <c r="K150" s="5"/>
    </row>
    <row r="151" spans="9:11">
      <c r="I151" s="5"/>
      <c r="K151" s="5"/>
    </row>
    <row r="152" spans="9:11">
      <c r="I152" s="5"/>
      <c r="K152" s="5"/>
    </row>
    <row r="153" spans="9:11">
      <c r="I153" s="5"/>
      <c r="K153" s="5"/>
    </row>
    <row r="154" spans="9:11">
      <c r="I154" s="5"/>
      <c r="K154" s="5"/>
    </row>
    <row r="155" spans="9:11">
      <c r="I155" s="5"/>
      <c r="K155" s="5"/>
    </row>
    <row r="156" spans="9:11">
      <c r="I156" s="5"/>
      <c r="K156" s="5"/>
    </row>
    <row r="157" spans="9:11">
      <c r="I157" s="5"/>
      <c r="K157" s="5"/>
    </row>
    <row r="158" spans="9:11">
      <c r="I158" s="5"/>
      <c r="K158" s="5"/>
    </row>
    <row r="159" spans="9:11">
      <c r="I159" s="5"/>
      <c r="K159" s="5"/>
    </row>
    <row r="160" spans="9:11">
      <c r="I160" s="5"/>
      <c r="K160" s="5"/>
    </row>
    <row r="161" spans="9:11">
      <c r="I161" s="5"/>
      <c r="K161" s="5"/>
    </row>
    <row r="162" spans="9:11">
      <c r="I162" s="5"/>
      <c r="K162" s="5"/>
    </row>
    <row r="163" spans="9:11">
      <c r="I163" s="5"/>
      <c r="K163" s="5"/>
    </row>
    <row r="164" spans="9:11">
      <c r="I164" s="5"/>
      <c r="K164" s="5"/>
    </row>
    <row r="165" spans="9:11">
      <c r="I165" s="5"/>
      <c r="K165" s="5"/>
    </row>
    <row r="166" spans="9:11">
      <c r="I166" s="5"/>
      <c r="K166" s="5"/>
    </row>
    <row r="167" spans="9:11">
      <c r="I167" s="5"/>
      <c r="K167" s="5"/>
    </row>
    <row r="168" spans="9:11">
      <c r="I168" s="5"/>
      <c r="K168" s="5"/>
    </row>
    <row r="169" spans="9:11">
      <c r="I169" s="5"/>
      <c r="K169" s="5"/>
    </row>
    <row r="170" spans="9:11">
      <c r="I170" s="5"/>
      <c r="K170" s="5"/>
    </row>
    <row r="171" spans="9:11">
      <c r="I171" s="5"/>
      <c r="K171" s="5"/>
    </row>
    <row r="172" spans="9:11">
      <c r="I172" s="5"/>
      <c r="K172" s="5"/>
    </row>
    <row r="173" spans="9:11">
      <c r="I173" s="5"/>
      <c r="K173" s="5"/>
    </row>
    <row r="174" spans="9:11">
      <c r="I174" s="5"/>
      <c r="K174" s="5"/>
    </row>
    <row r="175" spans="9:11">
      <c r="I175" s="5"/>
      <c r="K175" s="5"/>
    </row>
    <row r="176" spans="9:11">
      <c r="I176" s="5"/>
      <c r="K176" s="5"/>
    </row>
    <row r="177" spans="9:11">
      <c r="I177" s="5"/>
      <c r="K177" s="5"/>
    </row>
    <row r="178" spans="9:11">
      <c r="I178" s="5"/>
      <c r="K178" s="5"/>
    </row>
    <row r="179" spans="9:11">
      <c r="I179" s="5"/>
      <c r="K179" s="5"/>
    </row>
    <row r="180" spans="9:11">
      <c r="I180" s="5"/>
      <c r="K180" s="5"/>
    </row>
    <row r="181" spans="9:11">
      <c r="I181" s="5"/>
      <c r="K181" s="5"/>
    </row>
    <row r="182" spans="9:11">
      <c r="I182" s="5"/>
      <c r="K182" s="5"/>
    </row>
    <row r="183" spans="9:11">
      <c r="I183" s="5"/>
      <c r="K183" s="5"/>
    </row>
    <row r="184" spans="9:11">
      <c r="I184" s="5"/>
      <c r="K184" s="5"/>
    </row>
    <row r="185" spans="9:11">
      <c r="I185" s="5"/>
      <c r="K185" s="5"/>
    </row>
    <row r="186" spans="9:11">
      <c r="I186" s="5"/>
      <c r="K186" s="5"/>
    </row>
    <row r="187" spans="9:11">
      <c r="I187" s="5"/>
      <c r="K187" s="5"/>
    </row>
    <row r="188" spans="9:11">
      <c r="I188" s="5"/>
      <c r="K188" s="5"/>
    </row>
    <row r="189" spans="9:11">
      <c r="I189" s="5"/>
      <c r="K189" s="5"/>
    </row>
    <row r="190" spans="9:11">
      <c r="I190" s="5"/>
      <c r="K190" s="5"/>
    </row>
    <row r="191" spans="9:11">
      <c r="I191" s="5"/>
      <c r="K191" s="5"/>
    </row>
    <row r="192" spans="9:11">
      <c r="I192" s="5"/>
      <c r="K192" s="5"/>
    </row>
    <row r="193" spans="9:11">
      <c r="I193" s="5"/>
      <c r="K193" s="5"/>
    </row>
    <row r="194" spans="9:11">
      <c r="I194" s="5"/>
      <c r="K194" s="5"/>
    </row>
    <row r="195" spans="9:11">
      <c r="I195" s="5"/>
      <c r="K195" s="5"/>
    </row>
    <row r="196" spans="9:11">
      <c r="I196" s="5"/>
      <c r="K196" s="5"/>
    </row>
    <row r="197" spans="9:11">
      <c r="I197" s="5"/>
      <c r="K197" s="5"/>
    </row>
    <row r="198" spans="9:11">
      <c r="I198" s="5"/>
      <c r="K198" s="5"/>
    </row>
    <row r="199" spans="9:11">
      <c r="I199" s="5"/>
      <c r="K199" s="5"/>
    </row>
    <row r="200" spans="9:11">
      <c r="I200" s="5"/>
      <c r="K200" s="5"/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N200"/>
  <sheetViews>
    <sheetView topLeftCell="E1" workbookViewId="0">
      <selection activeCell="J5" sqref="J5:J14"/>
    </sheetView>
  </sheetViews>
  <sheetFormatPr defaultRowHeight="14.25"/>
  <cols>
    <col min="1" max="1" width="14" customWidth="1"/>
    <col min="2" max="2" width="26" customWidth="1"/>
    <col min="3" max="3" width="16" customWidth="1"/>
    <col min="4" max="4" width="20" customWidth="1"/>
    <col min="5" max="5" width="24" customWidth="1"/>
    <col min="6" max="6" width="20" customWidth="1"/>
    <col min="7" max="7" width="38" customWidth="1"/>
    <col min="8" max="8" width="32" customWidth="1"/>
    <col min="9" max="9" width="14" customWidth="1"/>
    <col min="10" max="10" width="8" customWidth="1"/>
    <col min="11" max="11" width="14" customWidth="1"/>
    <col min="12" max="12" width="38" customWidth="1"/>
    <col min="13" max="13" width="42" customWidth="1"/>
    <col min="14" max="14" width="55" customWidth="1"/>
  </cols>
  <sheetData>
    <row r="1" spans="1:14" ht="18">
      <c r="A1" s="7" t="s">
        <v>680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28.5">
      <c r="A5" s="3" t="s">
        <v>16</v>
      </c>
      <c r="B5" s="3" t="s">
        <v>681</v>
      </c>
      <c r="C5" s="3" t="s">
        <v>682</v>
      </c>
      <c r="D5" s="3" t="s">
        <v>683</v>
      </c>
      <c r="E5" s="3" t="s">
        <v>684</v>
      </c>
      <c r="F5" s="3" t="s">
        <v>685</v>
      </c>
      <c r="G5" s="3" t="s">
        <v>686</v>
      </c>
      <c r="H5" s="3" t="s">
        <v>687</v>
      </c>
      <c r="I5" s="4">
        <v>20</v>
      </c>
      <c r="J5" s="10">
        <v>2</v>
      </c>
      <c r="K5" s="4">
        <f t="shared" ref="K5:K15" si="0">IF(ISNUMBER(I5),I5*J5,"")</f>
        <v>40</v>
      </c>
      <c r="L5" s="3" t="s">
        <v>688</v>
      </c>
      <c r="M5" s="3" t="s">
        <v>689</v>
      </c>
      <c r="N5" s="3" t="s">
        <v>690</v>
      </c>
    </row>
    <row r="6" spans="1:14" ht="28.5">
      <c r="A6" s="3" t="s">
        <v>16</v>
      </c>
      <c r="B6" s="3" t="s">
        <v>691</v>
      </c>
      <c r="C6" s="3" t="s">
        <v>682</v>
      </c>
      <c r="D6" s="3" t="s">
        <v>683</v>
      </c>
      <c r="E6" s="3" t="s">
        <v>684</v>
      </c>
      <c r="F6" s="3" t="s">
        <v>685</v>
      </c>
      <c r="G6" s="3" t="s">
        <v>692</v>
      </c>
      <c r="H6" s="3" t="s">
        <v>693</v>
      </c>
      <c r="I6" s="4">
        <v>20</v>
      </c>
      <c r="J6" s="10">
        <v>2</v>
      </c>
      <c r="K6" s="4">
        <f t="shared" si="0"/>
        <v>40</v>
      </c>
      <c r="L6" s="3" t="s">
        <v>694</v>
      </c>
      <c r="M6" s="3" t="s">
        <v>695</v>
      </c>
      <c r="N6" s="3" t="s">
        <v>696</v>
      </c>
    </row>
    <row r="7" spans="1:14" ht="28.5">
      <c r="A7" s="3" t="s">
        <v>16</v>
      </c>
      <c r="B7" s="3" t="s">
        <v>697</v>
      </c>
      <c r="C7" s="3" t="s">
        <v>682</v>
      </c>
      <c r="D7" s="3" t="s">
        <v>698</v>
      </c>
      <c r="E7" s="3" t="s">
        <v>684</v>
      </c>
      <c r="F7" s="3" t="s">
        <v>699</v>
      </c>
      <c r="G7" s="3" t="s">
        <v>700</v>
      </c>
      <c r="H7" s="3" t="s">
        <v>701</v>
      </c>
      <c r="I7" s="4">
        <v>22</v>
      </c>
      <c r="J7" s="10">
        <v>2</v>
      </c>
      <c r="K7" s="4">
        <f t="shared" si="0"/>
        <v>44</v>
      </c>
      <c r="L7" s="3" t="s">
        <v>702</v>
      </c>
      <c r="M7" s="3" t="s">
        <v>703</v>
      </c>
      <c r="N7" s="3" t="s">
        <v>704</v>
      </c>
    </row>
    <row r="8" spans="1:14" ht="28.5">
      <c r="A8" s="3" t="s">
        <v>16</v>
      </c>
      <c r="B8" s="3" t="s">
        <v>705</v>
      </c>
      <c r="C8" s="3" t="s">
        <v>682</v>
      </c>
      <c r="D8" s="3" t="s">
        <v>706</v>
      </c>
      <c r="E8" s="3" t="s">
        <v>684</v>
      </c>
      <c r="F8" s="3" t="s">
        <v>699</v>
      </c>
      <c r="G8" s="3" t="s">
        <v>707</v>
      </c>
      <c r="H8" s="3" t="s">
        <v>708</v>
      </c>
      <c r="I8" s="4">
        <v>29</v>
      </c>
      <c r="J8" s="10">
        <v>2</v>
      </c>
      <c r="K8" s="4">
        <f t="shared" si="0"/>
        <v>58</v>
      </c>
      <c r="L8" s="3" t="s">
        <v>709</v>
      </c>
      <c r="M8" s="3" t="s">
        <v>710</v>
      </c>
      <c r="N8" s="3" t="s">
        <v>704</v>
      </c>
    </row>
    <row r="9" spans="1:14" ht="28.5">
      <c r="A9" s="3" t="s">
        <v>16</v>
      </c>
      <c r="B9" s="3" t="s">
        <v>711</v>
      </c>
      <c r="C9" s="3" t="s">
        <v>682</v>
      </c>
      <c r="D9" s="3" t="s">
        <v>712</v>
      </c>
      <c r="E9" s="3" t="s">
        <v>684</v>
      </c>
      <c r="F9" s="3" t="s">
        <v>713</v>
      </c>
      <c r="G9" s="3" t="s">
        <v>714</v>
      </c>
      <c r="H9" s="3" t="s">
        <v>715</v>
      </c>
      <c r="I9" s="4">
        <v>45</v>
      </c>
      <c r="J9" s="10">
        <v>2</v>
      </c>
      <c r="K9" s="4">
        <f t="shared" si="0"/>
        <v>90</v>
      </c>
      <c r="L9" s="3" t="s">
        <v>694</v>
      </c>
      <c r="M9" s="3" t="s">
        <v>716</v>
      </c>
      <c r="N9" s="3" t="s">
        <v>717</v>
      </c>
    </row>
    <row r="10" spans="1:14" ht="28.5">
      <c r="A10" s="3" t="s">
        <v>89</v>
      </c>
      <c r="B10" s="3" t="s">
        <v>718</v>
      </c>
      <c r="C10" s="3" t="s">
        <v>719</v>
      </c>
      <c r="D10" s="3" t="s">
        <v>720</v>
      </c>
      <c r="E10" s="3" t="s">
        <v>721</v>
      </c>
      <c r="F10" s="3" t="s">
        <v>722</v>
      </c>
      <c r="G10" s="3" t="s">
        <v>723</v>
      </c>
      <c r="H10" s="3" t="s">
        <v>724</v>
      </c>
      <c r="I10" s="4">
        <v>45</v>
      </c>
      <c r="J10" s="10">
        <v>2</v>
      </c>
      <c r="K10" s="4">
        <f t="shared" si="0"/>
        <v>90</v>
      </c>
      <c r="L10" s="3" t="s">
        <v>725</v>
      </c>
      <c r="M10" s="3" t="s">
        <v>726</v>
      </c>
      <c r="N10" s="3" t="s">
        <v>727</v>
      </c>
    </row>
    <row r="11" spans="1:14" ht="28.5">
      <c r="A11" s="3" t="s">
        <v>89</v>
      </c>
      <c r="B11" s="3" t="s">
        <v>728</v>
      </c>
      <c r="C11" s="3" t="s">
        <v>729</v>
      </c>
      <c r="D11" s="3" t="s">
        <v>730</v>
      </c>
      <c r="E11" s="3" t="s">
        <v>731</v>
      </c>
      <c r="F11" s="3" t="s">
        <v>722</v>
      </c>
      <c r="G11" s="3" t="s">
        <v>732</v>
      </c>
      <c r="H11" s="3" t="s">
        <v>733</v>
      </c>
      <c r="I11" s="4">
        <v>65</v>
      </c>
      <c r="J11" s="10">
        <v>2</v>
      </c>
      <c r="K11" s="4">
        <f t="shared" si="0"/>
        <v>130</v>
      </c>
      <c r="L11" s="3" t="s">
        <v>734</v>
      </c>
      <c r="M11" s="3" t="s">
        <v>735</v>
      </c>
      <c r="N11" s="3" t="s">
        <v>736</v>
      </c>
    </row>
    <row r="12" spans="1:14" ht="28.5">
      <c r="A12" s="3" t="s">
        <v>89</v>
      </c>
      <c r="B12" s="3" t="s">
        <v>737</v>
      </c>
      <c r="C12" s="3" t="s">
        <v>738</v>
      </c>
      <c r="D12" s="3" t="s">
        <v>739</v>
      </c>
      <c r="E12" s="3" t="s">
        <v>731</v>
      </c>
      <c r="F12" s="3" t="s">
        <v>740</v>
      </c>
      <c r="G12" s="3" t="s">
        <v>741</v>
      </c>
      <c r="H12" s="3" t="s">
        <v>742</v>
      </c>
      <c r="I12" s="4">
        <v>83</v>
      </c>
      <c r="J12" s="10">
        <v>2</v>
      </c>
      <c r="K12" s="4">
        <f t="shared" si="0"/>
        <v>166</v>
      </c>
      <c r="L12" s="3" t="s">
        <v>743</v>
      </c>
      <c r="M12" s="3" t="s">
        <v>744</v>
      </c>
      <c r="N12" s="3" t="s">
        <v>745</v>
      </c>
    </row>
    <row r="13" spans="1:14">
      <c r="A13" s="3" t="s">
        <v>746</v>
      </c>
      <c r="B13" s="3" t="s">
        <v>747</v>
      </c>
      <c r="C13" s="3" t="s">
        <v>738</v>
      </c>
      <c r="D13" s="3" t="s">
        <v>748</v>
      </c>
      <c r="E13" s="3" t="s">
        <v>731</v>
      </c>
      <c r="F13" s="3" t="s">
        <v>749</v>
      </c>
      <c r="G13" s="3" t="s">
        <v>750</v>
      </c>
      <c r="H13" s="3" t="s">
        <v>751</v>
      </c>
      <c r="I13" s="4">
        <v>48</v>
      </c>
      <c r="J13" s="10">
        <v>2</v>
      </c>
      <c r="K13" s="4">
        <f t="shared" si="0"/>
        <v>96</v>
      </c>
      <c r="L13" s="3" t="s">
        <v>752</v>
      </c>
      <c r="M13" s="3" t="s">
        <v>753</v>
      </c>
      <c r="N13" s="3" t="s">
        <v>745</v>
      </c>
    </row>
    <row r="14" spans="1:14" ht="42.75">
      <c r="A14" s="3" t="s">
        <v>746</v>
      </c>
      <c r="B14" s="3" t="s">
        <v>754</v>
      </c>
      <c r="C14" s="3" t="s">
        <v>755</v>
      </c>
      <c r="D14" s="3" t="s">
        <v>756</v>
      </c>
      <c r="E14" s="3" t="s">
        <v>731</v>
      </c>
      <c r="F14" s="3" t="s">
        <v>757</v>
      </c>
      <c r="G14" s="3" t="s">
        <v>758</v>
      </c>
      <c r="H14" s="3" t="s">
        <v>759</v>
      </c>
      <c r="I14" s="4">
        <v>90</v>
      </c>
      <c r="J14" s="10">
        <v>2</v>
      </c>
      <c r="K14" s="4">
        <f t="shared" si="0"/>
        <v>180</v>
      </c>
      <c r="L14" s="3" t="s">
        <v>760</v>
      </c>
      <c r="M14" s="3" t="s">
        <v>761</v>
      </c>
      <c r="N14" s="3" t="s">
        <v>762</v>
      </c>
    </row>
    <row r="15" spans="1:14">
      <c r="I15" s="5"/>
      <c r="J15" s="5"/>
      <c r="K15" s="5" t="str">
        <f t="shared" si="0"/>
        <v/>
      </c>
    </row>
    <row r="16" spans="1:14">
      <c r="I16" s="5"/>
      <c r="J16" s="5"/>
      <c r="K16" s="5"/>
    </row>
    <row r="17" spans="9:11">
      <c r="I17" s="5"/>
      <c r="J17" s="5"/>
      <c r="K17" s="5"/>
    </row>
    <row r="18" spans="9:11">
      <c r="I18" s="5"/>
      <c r="J18" s="5"/>
      <c r="K18" s="5"/>
    </row>
    <row r="19" spans="9:11">
      <c r="I19" s="5"/>
      <c r="J19" s="5"/>
      <c r="K19" s="5"/>
    </row>
    <row r="20" spans="9:11">
      <c r="I20" s="5"/>
      <c r="J20" s="5"/>
      <c r="K20" s="5"/>
    </row>
    <row r="21" spans="9:11">
      <c r="I21" s="5"/>
      <c r="J21" s="5"/>
      <c r="K21" s="5"/>
    </row>
    <row r="22" spans="9:11">
      <c r="I22" s="5"/>
      <c r="J22" s="5"/>
      <c r="K22" s="5"/>
    </row>
    <row r="23" spans="9:11">
      <c r="I23" s="5"/>
      <c r="J23" s="5"/>
      <c r="K23" s="5"/>
    </row>
    <row r="24" spans="9:11">
      <c r="I24" s="5"/>
      <c r="J24" s="5"/>
      <c r="K24" s="5"/>
    </row>
    <row r="25" spans="9:11">
      <c r="I25" s="5"/>
      <c r="J25" s="5"/>
      <c r="K25" s="5"/>
    </row>
    <row r="26" spans="9:11">
      <c r="I26" s="5"/>
      <c r="J26" s="5"/>
      <c r="K26" s="5"/>
    </row>
    <row r="27" spans="9:11">
      <c r="I27" s="5"/>
      <c r="J27" s="5"/>
      <c r="K27" s="5"/>
    </row>
    <row r="28" spans="9:11">
      <c r="I28" s="5"/>
      <c r="J28" s="5"/>
      <c r="K28" s="5"/>
    </row>
    <row r="29" spans="9:11">
      <c r="I29" s="5"/>
      <c r="J29" s="5"/>
      <c r="K29" s="5"/>
    </row>
    <row r="30" spans="9:11">
      <c r="I30" s="5"/>
      <c r="J30" s="5"/>
      <c r="K30" s="5"/>
    </row>
    <row r="31" spans="9:11">
      <c r="I31" s="5"/>
      <c r="J31" s="5"/>
      <c r="K31" s="5"/>
    </row>
    <row r="32" spans="9:11">
      <c r="I32" s="5"/>
      <c r="J32" s="5"/>
      <c r="K32" s="5"/>
    </row>
    <row r="33" spans="9:11">
      <c r="I33" s="5"/>
      <c r="J33" s="5"/>
      <c r="K33" s="5"/>
    </row>
    <row r="34" spans="9:11">
      <c r="I34" s="5"/>
      <c r="J34" s="5"/>
      <c r="K34" s="5"/>
    </row>
    <row r="35" spans="9:11">
      <c r="I35" s="5"/>
      <c r="J35" s="5"/>
      <c r="K35" s="5"/>
    </row>
    <row r="36" spans="9:11">
      <c r="I36" s="5"/>
      <c r="J36" s="5"/>
      <c r="K36" s="5"/>
    </row>
    <row r="37" spans="9:11">
      <c r="I37" s="5"/>
      <c r="J37" s="5"/>
      <c r="K37" s="5"/>
    </row>
    <row r="38" spans="9:11">
      <c r="I38" s="5"/>
      <c r="J38" s="5"/>
      <c r="K38" s="5"/>
    </row>
    <row r="39" spans="9:11">
      <c r="I39" s="5"/>
      <c r="J39" s="5"/>
      <c r="K39" s="5"/>
    </row>
    <row r="40" spans="9:11">
      <c r="I40" s="5"/>
      <c r="J40" s="5"/>
      <c r="K40" s="5"/>
    </row>
    <row r="41" spans="9:11">
      <c r="I41" s="5"/>
      <c r="J41" s="5"/>
      <c r="K41" s="5"/>
    </row>
    <row r="42" spans="9:11">
      <c r="I42" s="5"/>
      <c r="J42" s="5"/>
      <c r="K42" s="5"/>
    </row>
    <row r="43" spans="9:11">
      <c r="I43" s="5"/>
      <c r="J43" s="5"/>
      <c r="K43" s="5"/>
    </row>
    <row r="44" spans="9:11">
      <c r="I44" s="5"/>
      <c r="J44" s="5"/>
      <c r="K44" s="5"/>
    </row>
    <row r="45" spans="9:11">
      <c r="I45" s="5"/>
      <c r="J45" s="5"/>
      <c r="K45" s="5"/>
    </row>
    <row r="46" spans="9:11">
      <c r="I46" s="5"/>
      <c r="J46" s="5"/>
      <c r="K46" s="5"/>
    </row>
    <row r="47" spans="9:11">
      <c r="I47" s="5"/>
      <c r="J47" s="5"/>
      <c r="K47" s="5"/>
    </row>
    <row r="48" spans="9:11">
      <c r="I48" s="5"/>
      <c r="J48" s="5"/>
      <c r="K48" s="5"/>
    </row>
    <row r="49" spans="9:11">
      <c r="I49" s="5"/>
      <c r="J49" s="5"/>
      <c r="K49" s="5"/>
    </row>
    <row r="50" spans="9:11">
      <c r="I50" s="5"/>
      <c r="J50" s="5"/>
      <c r="K50" s="5"/>
    </row>
    <row r="51" spans="9:11">
      <c r="I51" s="5"/>
      <c r="J51" s="5"/>
      <c r="K51" s="5"/>
    </row>
    <row r="52" spans="9:11">
      <c r="I52" s="5"/>
      <c r="J52" s="5"/>
      <c r="K52" s="5"/>
    </row>
    <row r="53" spans="9:11">
      <c r="I53" s="5"/>
      <c r="J53" s="5"/>
      <c r="K53" s="5"/>
    </row>
    <row r="54" spans="9:11">
      <c r="I54" s="5"/>
      <c r="J54" s="5"/>
      <c r="K54" s="5"/>
    </row>
    <row r="55" spans="9:11">
      <c r="I55" s="5"/>
      <c r="J55" s="5"/>
      <c r="K55" s="5"/>
    </row>
    <row r="56" spans="9:11">
      <c r="I56" s="5"/>
      <c r="J56" s="5"/>
      <c r="K56" s="5"/>
    </row>
    <row r="57" spans="9:11">
      <c r="I57" s="5"/>
      <c r="J57" s="5"/>
      <c r="K57" s="5"/>
    </row>
    <row r="58" spans="9:11">
      <c r="I58" s="5"/>
      <c r="J58" s="5"/>
      <c r="K58" s="5"/>
    </row>
    <row r="59" spans="9:11">
      <c r="I59" s="5"/>
      <c r="J59" s="5"/>
      <c r="K59" s="5"/>
    </row>
    <row r="60" spans="9:11">
      <c r="I60" s="5"/>
      <c r="J60" s="5"/>
      <c r="K60" s="5"/>
    </row>
    <row r="61" spans="9:11">
      <c r="I61" s="5"/>
      <c r="J61" s="5"/>
      <c r="K61" s="5"/>
    </row>
    <row r="62" spans="9:11">
      <c r="I62" s="5"/>
      <c r="J62" s="5"/>
      <c r="K62" s="5"/>
    </row>
    <row r="63" spans="9:11">
      <c r="I63" s="5"/>
      <c r="J63" s="5"/>
      <c r="K63" s="5"/>
    </row>
    <row r="64" spans="9:11">
      <c r="I64" s="5"/>
      <c r="J64" s="5"/>
      <c r="K64" s="5"/>
    </row>
    <row r="65" spans="9:11">
      <c r="I65" s="5"/>
      <c r="J65" s="5"/>
      <c r="K65" s="5"/>
    </row>
    <row r="66" spans="9:11">
      <c r="I66" s="5"/>
      <c r="J66" s="5"/>
      <c r="K66" s="5"/>
    </row>
    <row r="67" spans="9:11">
      <c r="I67" s="5"/>
      <c r="J67" s="5"/>
      <c r="K67" s="5"/>
    </row>
    <row r="68" spans="9:11">
      <c r="I68" s="5"/>
      <c r="J68" s="5"/>
      <c r="K68" s="5"/>
    </row>
    <row r="69" spans="9:11">
      <c r="I69" s="5"/>
      <c r="J69" s="5"/>
      <c r="K69" s="5"/>
    </row>
    <row r="70" spans="9:11">
      <c r="I70" s="5"/>
      <c r="J70" s="5"/>
      <c r="K70" s="5"/>
    </row>
    <row r="71" spans="9:11">
      <c r="I71" s="5"/>
      <c r="J71" s="5"/>
      <c r="K71" s="5"/>
    </row>
    <row r="72" spans="9:11">
      <c r="I72" s="5"/>
      <c r="J72" s="5"/>
      <c r="K72" s="5"/>
    </row>
    <row r="73" spans="9:11">
      <c r="I73" s="5"/>
      <c r="J73" s="5"/>
      <c r="K73" s="5"/>
    </row>
    <row r="74" spans="9:11">
      <c r="I74" s="5"/>
      <c r="J74" s="5"/>
      <c r="K74" s="5"/>
    </row>
    <row r="75" spans="9:11">
      <c r="I75" s="5"/>
      <c r="J75" s="5"/>
      <c r="K75" s="5"/>
    </row>
    <row r="76" spans="9:11">
      <c r="I76" s="5"/>
      <c r="J76" s="5"/>
      <c r="K76" s="5"/>
    </row>
    <row r="77" spans="9:11">
      <c r="I77" s="5"/>
      <c r="J77" s="5"/>
      <c r="K77" s="5"/>
    </row>
    <row r="78" spans="9:11">
      <c r="I78" s="5"/>
      <c r="J78" s="5"/>
      <c r="K78" s="5"/>
    </row>
    <row r="79" spans="9:11">
      <c r="I79" s="5"/>
      <c r="J79" s="5"/>
      <c r="K79" s="5"/>
    </row>
    <row r="80" spans="9:11">
      <c r="I80" s="5"/>
      <c r="J80" s="5"/>
      <c r="K80" s="5"/>
    </row>
    <row r="81" spans="9:11">
      <c r="I81" s="5"/>
      <c r="J81" s="5"/>
      <c r="K81" s="5"/>
    </row>
    <row r="82" spans="9:11">
      <c r="I82" s="5"/>
      <c r="J82" s="5"/>
      <c r="K82" s="5"/>
    </row>
    <row r="83" spans="9:11">
      <c r="I83" s="5"/>
      <c r="J83" s="5"/>
      <c r="K83" s="5"/>
    </row>
    <row r="84" spans="9:11">
      <c r="I84" s="5"/>
      <c r="J84" s="5"/>
      <c r="K84" s="5"/>
    </row>
    <row r="85" spans="9:11">
      <c r="I85" s="5"/>
      <c r="J85" s="5"/>
      <c r="K85" s="5"/>
    </row>
    <row r="86" spans="9:11">
      <c r="I86" s="5"/>
      <c r="J86" s="5"/>
      <c r="K86" s="5"/>
    </row>
    <row r="87" spans="9:11">
      <c r="I87" s="5"/>
      <c r="J87" s="5"/>
      <c r="K87" s="5"/>
    </row>
    <row r="88" spans="9:11">
      <c r="I88" s="5"/>
      <c r="J88" s="5"/>
      <c r="K88" s="5"/>
    </row>
    <row r="89" spans="9:11">
      <c r="I89" s="5"/>
      <c r="J89" s="5"/>
      <c r="K89" s="5"/>
    </row>
    <row r="90" spans="9:11">
      <c r="I90" s="5"/>
      <c r="J90" s="5"/>
      <c r="K90" s="5"/>
    </row>
    <row r="91" spans="9:11">
      <c r="I91" s="5"/>
      <c r="J91" s="5"/>
      <c r="K91" s="5"/>
    </row>
    <row r="92" spans="9:11">
      <c r="I92" s="5"/>
      <c r="J92" s="5"/>
      <c r="K92" s="5"/>
    </row>
    <row r="93" spans="9:11">
      <c r="I93" s="5"/>
      <c r="J93" s="5"/>
      <c r="K93" s="5"/>
    </row>
    <row r="94" spans="9:11">
      <c r="I94" s="5"/>
      <c r="J94" s="5"/>
      <c r="K94" s="5"/>
    </row>
    <row r="95" spans="9:11">
      <c r="I95" s="5"/>
      <c r="J95" s="5"/>
      <c r="K95" s="5"/>
    </row>
    <row r="96" spans="9:11">
      <c r="I96" s="5"/>
      <c r="J96" s="5"/>
      <c r="K96" s="5"/>
    </row>
    <row r="97" spans="9:11">
      <c r="I97" s="5"/>
      <c r="J97" s="5"/>
      <c r="K97" s="5"/>
    </row>
    <row r="98" spans="9:11">
      <c r="I98" s="5"/>
      <c r="J98" s="5"/>
      <c r="K98" s="5"/>
    </row>
    <row r="99" spans="9:11">
      <c r="I99" s="5"/>
      <c r="J99" s="5"/>
      <c r="K99" s="5"/>
    </row>
    <row r="100" spans="9:11">
      <c r="I100" s="5"/>
      <c r="J100" s="5"/>
      <c r="K100" s="5"/>
    </row>
    <row r="101" spans="9:11">
      <c r="I101" s="5"/>
      <c r="J101" s="5"/>
      <c r="K101" s="5"/>
    </row>
    <row r="102" spans="9:11">
      <c r="I102" s="5"/>
      <c r="J102" s="5"/>
      <c r="K102" s="5"/>
    </row>
    <row r="103" spans="9:11">
      <c r="I103" s="5"/>
      <c r="J103" s="5"/>
      <c r="K103" s="5"/>
    </row>
    <row r="104" spans="9:11">
      <c r="I104" s="5"/>
      <c r="J104" s="5"/>
      <c r="K104" s="5"/>
    </row>
    <row r="105" spans="9:11">
      <c r="I105" s="5"/>
      <c r="J105" s="5"/>
      <c r="K105" s="5"/>
    </row>
    <row r="106" spans="9:11">
      <c r="I106" s="5"/>
      <c r="J106" s="5"/>
      <c r="K106" s="5"/>
    </row>
    <row r="107" spans="9:11">
      <c r="I107" s="5"/>
      <c r="J107" s="5"/>
      <c r="K107" s="5"/>
    </row>
    <row r="108" spans="9:11">
      <c r="I108" s="5"/>
      <c r="J108" s="5"/>
      <c r="K108" s="5"/>
    </row>
    <row r="109" spans="9:11">
      <c r="I109" s="5"/>
      <c r="J109" s="5"/>
      <c r="K109" s="5"/>
    </row>
    <row r="110" spans="9:11">
      <c r="I110" s="5"/>
      <c r="J110" s="5"/>
      <c r="K110" s="5"/>
    </row>
    <row r="111" spans="9:11">
      <c r="I111" s="5"/>
      <c r="J111" s="5"/>
      <c r="K111" s="5"/>
    </row>
    <row r="112" spans="9:11">
      <c r="I112" s="5"/>
      <c r="J112" s="5"/>
      <c r="K112" s="5"/>
    </row>
    <row r="113" spans="9:11">
      <c r="I113" s="5"/>
      <c r="J113" s="5"/>
      <c r="K113" s="5"/>
    </row>
    <row r="114" spans="9:11">
      <c r="I114" s="5"/>
      <c r="J114" s="5"/>
      <c r="K114" s="5"/>
    </row>
    <row r="115" spans="9:11">
      <c r="I115" s="5"/>
      <c r="J115" s="5"/>
      <c r="K115" s="5"/>
    </row>
    <row r="116" spans="9:11">
      <c r="I116" s="5"/>
      <c r="J116" s="5"/>
      <c r="K116" s="5"/>
    </row>
    <row r="117" spans="9:11">
      <c r="I117" s="5"/>
      <c r="J117" s="5"/>
      <c r="K117" s="5"/>
    </row>
    <row r="118" spans="9:11">
      <c r="I118" s="5"/>
      <c r="J118" s="5"/>
      <c r="K118" s="5"/>
    </row>
    <row r="119" spans="9:11">
      <c r="I119" s="5"/>
      <c r="J119" s="5"/>
      <c r="K119" s="5"/>
    </row>
    <row r="120" spans="9:11">
      <c r="I120" s="5"/>
      <c r="J120" s="5"/>
      <c r="K120" s="5"/>
    </row>
    <row r="121" spans="9:11">
      <c r="I121" s="5"/>
      <c r="J121" s="5"/>
      <c r="K121" s="5"/>
    </row>
    <row r="122" spans="9:11">
      <c r="I122" s="5"/>
      <c r="J122" s="5"/>
      <c r="K122" s="5"/>
    </row>
    <row r="123" spans="9:11">
      <c r="I123" s="5"/>
      <c r="J123" s="5"/>
      <c r="K123" s="5"/>
    </row>
    <row r="124" spans="9:11">
      <c r="I124" s="5"/>
      <c r="J124" s="5"/>
      <c r="K124" s="5"/>
    </row>
    <row r="125" spans="9:11">
      <c r="I125" s="5"/>
      <c r="J125" s="5"/>
      <c r="K125" s="5"/>
    </row>
    <row r="126" spans="9:11">
      <c r="I126" s="5"/>
      <c r="J126" s="5"/>
      <c r="K126" s="5"/>
    </row>
    <row r="127" spans="9:11">
      <c r="I127" s="5"/>
      <c r="J127" s="5"/>
      <c r="K127" s="5"/>
    </row>
    <row r="128" spans="9:11">
      <c r="I128" s="5"/>
      <c r="J128" s="5"/>
      <c r="K128" s="5"/>
    </row>
    <row r="129" spans="9:11">
      <c r="I129" s="5"/>
      <c r="J129" s="5"/>
      <c r="K129" s="5"/>
    </row>
    <row r="130" spans="9:11">
      <c r="I130" s="5"/>
      <c r="J130" s="5"/>
      <c r="K130" s="5"/>
    </row>
    <row r="131" spans="9:11">
      <c r="I131" s="5"/>
      <c r="J131" s="5"/>
      <c r="K131" s="5"/>
    </row>
    <row r="132" spans="9:11">
      <c r="I132" s="5"/>
      <c r="J132" s="5"/>
      <c r="K132" s="5"/>
    </row>
    <row r="133" spans="9:11">
      <c r="I133" s="5"/>
      <c r="J133" s="5"/>
      <c r="K133" s="5"/>
    </row>
    <row r="134" spans="9:11">
      <c r="I134" s="5"/>
      <c r="J134" s="5"/>
      <c r="K134" s="5"/>
    </row>
    <row r="135" spans="9:11">
      <c r="I135" s="5"/>
      <c r="J135" s="5"/>
      <c r="K135" s="5"/>
    </row>
    <row r="136" spans="9:11">
      <c r="I136" s="5"/>
      <c r="J136" s="5"/>
      <c r="K136" s="5"/>
    </row>
    <row r="137" spans="9:11">
      <c r="I137" s="5"/>
      <c r="J137" s="5"/>
      <c r="K137" s="5"/>
    </row>
    <row r="138" spans="9:11">
      <c r="I138" s="5"/>
      <c r="J138" s="5"/>
      <c r="K138" s="5"/>
    </row>
    <row r="139" spans="9:11">
      <c r="I139" s="5"/>
      <c r="J139" s="5"/>
      <c r="K139" s="5"/>
    </row>
    <row r="140" spans="9:11">
      <c r="I140" s="5"/>
      <c r="J140" s="5"/>
      <c r="K140" s="5"/>
    </row>
    <row r="141" spans="9:11">
      <c r="I141" s="5"/>
      <c r="J141" s="5"/>
      <c r="K141" s="5"/>
    </row>
    <row r="142" spans="9:11">
      <c r="I142" s="5"/>
      <c r="J142" s="5"/>
      <c r="K142" s="5"/>
    </row>
    <row r="143" spans="9:11">
      <c r="I143" s="5"/>
      <c r="J143" s="5"/>
      <c r="K143" s="5"/>
    </row>
    <row r="144" spans="9:11">
      <c r="I144" s="5"/>
      <c r="J144" s="5"/>
      <c r="K144" s="5"/>
    </row>
    <row r="145" spans="9:11">
      <c r="I145" s="5"/>
      <c r="J145" s="5"/>
      <c r="K145" s="5"/>
    </row>
    <row r="146" spans="9:11">
      <c r="I146" s="5"/>
      <c r="J146" s="5"/>
      <c r="K146" s="5"/>
    </row>
    <row r="147" spans="9:11">
      <c r="I147" s="5"/>
      <c r="J147" s="5"/>
      <c r="K147" s="5"/>
    </row>
    <row r="148" spans="9:11">
      <c r="I148" s="5"/>
      <c r="J148" s="5"/>
      <c r="K148" s="5"/>
    </row>
    <row r="149" spans="9:11">
      <c r="I149" s="5"/>
      <c r="J149" s="5"/>
      <c r="K149" s="5"/>
    </row>
    <row r="150" spans="9:11">
      <c r="I150" s="5"/>
      <c r="J150" s="5"/>
      <c r="K150" s="5"/>
    </row>
    <row r="151" spans="9:11">
      <c r="I151" s="5"/>
      <c r="J151" s="5"/>
      <c r="K151" s="5"/>
    </row>
    <row r="152" spans="9:11">
      <c r="I152" s="5"/>
      <c r="J152" s="5"/>
      <c r="K152" s="5"/>
    </row>
    <row r="153" spans="9:11">
      <c r="I153" s="5"/>
      <c r="J153" s="5"/>
      <c r="K153" s="5"/>
    </row>
    <row r="154" spans="9:11">
      <c r="I154" s="5"/>
      <c r="J154" s="5"/>
      <c r="K154" s="5"/>
    </row>
    <row r="155" spans="9:11">
      <c r="I155" s="5"/>
      <c r="J155" s="5"/>
      <c r="K155" s="5"/>
    </row>
    <row r="156" spans="9:11">
      <c r="I156" s="5"/>
      <c r="J156" s="5"/>
      <c r="K156" s="5"/>
    </row>
    <row r="157" spans="9:11">
      <c r="I157" s="5"/>
      <c r="J157" s="5"/>
      <c r="K157" s="5"/>
    </row>
    <row r="158" spans="9:11">
      <c r="I158" s="5"/>
      <c r="J158" s="5"/>
      <c r="K158" s="5"/>
    </row>
    <row r="159" spans="9:11">
      <c r="I159" s="5"/>
      <c r="J159" s="5"/>
      <c r="K159" s="5"/>
    </row>
    <row r="160" spans="9:11">
      <c r="I160" s="5"/>
      <c r="J160" s="5"/>
      <c r="K160" s="5"/>
    </row>
    <row r="161" spans="9:11">
      <c r="I161" s="5"/>
      <c r="J161" s="5"/>
      <c r="K161" s="5"/>
    </row>
    <row r="162" spans="9:11">
      <c r="I162" s="5"/>
      <c r="J162" s="5"/>
      <c r="K162" s="5"/>
    </row>
    <row r="163" spans="9:11">
      <c r="I163" s="5"/>
      <c r="J163" s="5"/>
      <c r="K163" s="5"/>
    </row>
    <row r="164" spans="9:11">
      <c r="I164" s="5"/>
      <c r="J164" s="5"/>
      <c r="K164" s="5"/>
    </row>
    <row r="165" spans="9:11">
      <c r="I165" s="5"/>
      <c r="J165" s="5"/>
      <c r="K165" s="5"/>
    </row>
    <row r="166" spans="9:11">
      <c r="I166" s="5"/>
      <c r="J166" s="5"/>
      <c r="K166" s="5"/>
    </row>
    <row r="167" spans="9:11">
      <c r="I167" s="5"/>
      <c r="J167" s="5"/>
      <c r="K167" s="5"/>
    </row>
    <row r="168" spans="9:11">
      <c r="I168" s="5"/>
      <c r="J168" s="5"/>
      <c r="K168" s="5"/>
    </row>
    <row r="169" spans="9:11">
      <c r="I169" s="5"/>
      <c r="J169" s="5"/>
      <c r="K169" s="5"/>
    </row>
    <row r="170" spans="9:11">
      <c r="I170" s="5"/>
      <c r="J170" s="5"/>
      <c r="K170" s="5"/>
    </row>
    <row r="171" spans="9:11">
      <c r="I171" s="5"/>
      <c r="J171" s="5"/>
      <c r="K171" s="5"/>
    </row>
    <row r="172" spans="9:11">
      <c r="I172" s="5"/>
      <c r="J172" s="5"/>
      <c r="K172" s="5"/>
    </row>
    <row r="173" spans="9:11">
      <c r="I173" s="5"/>
      <c r="J173" s="5"/>
      <c r="K173" s="5"/>
    </row>
    <row r="174" spans="9:11">
      <c r="I174" s="5"/>
      <c r="J174" s="5"/>
      <c r="K174" s="5"/>
    </row>
    <row r="175" spans="9:11">
      <c r="I175" s="5"/>
      <c r="J175" s="5"/>
      <c r="K175" s="5"/>
    </row>
    <row r="176" spans="9:11">
      <c r="I176" s="5"/>
      <c r="J176" s="5"/>
      <c r="K176" s="5"/>
    </row>
    <row r="177" spans="9:11">
      <c r="I177" s="5"/>
      <c r="J177" s="5"/>
      <c r="K177" s="5"/>
    </row>
    <row r="178" spans="9:11">
      <c r="I178" s="5"/>
      <c r="J178" s="5"/>
      <c r="K178" s="5"/>
    </row>
    <row r="179" spans="9:11">
      <c r="I179" s="5"/>
      <c r="J179" s="5"/>
      <c r="K179" s="5"/>
    </row>
    <row r="180" spans="9:11">
      <c r="I180" s="5"/>
      <c r="J180" s="5"/>
      <c r="K180" s="5"/>
    </row>
    <row r="181" spans="9:11">
      <c r="I181" s="5"/>
      <c r="J181" s="5"/>
      <c r="K181" s="5"/>
    </row>
    <row r="182" spans="9:11">
      <c r="I182" s="5"/>
      <c r="J182" s="5"/>
      <c r="K182" s="5"/>
    </row>
    <row r="183" spans="9:11">
      <c r="I183" s="5"/>
      <c r="J183" s="5"/>
      <c r="K183" s="5"/>
    </row>
    <row r="184" spans="9:11">
      <c r="I184" s="5"/>
      <c r="J184" s="5"/>
      <c r="K184" s="5"/>
    </row>
    <row r="185" spans="9:11">
      <c r="I185" s="5"/>
      <c r="J185" s="5"/>
      <c r="K185" s="5"/>
    </row>
    <row r="186" spans="9:11">
      <c r="I186" s="5"/>
      <c r="J186" s="5"/>
      <c r="K186" s="5"/>
    </row>
    <row r="187" spans="9:11">
      <c r="I187" s="5"/>
      <c r="J187" s="5"/>
      <c r="K187" s="5"/>
    </row>
    <row r="188" spans="9:11">
      <c r="I188" s="5"/>
      <c r="J188" s="5"/>
      <c r="K188" s="5"/>
    </row>
    <row r="189" spans="9:11">
      <c r="I189" s="5"/>
      <c r="J189" s="5"/>
      <c r="K189" s="5"/>
    </row>
    <row r="190" spans="9:11">
      <c r="I190" s="5"/>
      <c r="J190" s="5"/>
      <c r="K190" s="5"/>
    </row>
    <row r="191" spans="9:11">
      <c r="I191" s="5"/>
      <c r="J191" s="5"/>
      <c r="K191" s="5"/>
    </row>
    <row r="192" spans="9:11">
      <c r="I192" s="5"/>
      <c r="J192" s="5"/>
      <c r="K192" s="5"/>
    </row>
    <row r="193" spans="9:11">
      <c r="I193" s="5"/>
      <c r="J193" s="5"/>
      <c r="K193" s="5"/>
    </row>
    <row r="194" spans="9:11">
      <c r="I194" s="5"/>
      <c r="J194" s="5"/>
      <c r="K194" s="5"/>
    </row>
    <row r="195" spans="9:11">
      <c r="I195" s="5"/>
      <c r="J195" s="5"/>
      <c r="K195" s="5"/>
    </row>
    <row r="196" spans="9:11">
      <c r="I196" s="5"/>
      <c r="J196" s="5"/>
      <c r="K196" s="5"/>
    </row>
    <row r="197" spans="9:11">
      <c r="I197" s="5"/>
      <c r="J197" s="5"/>
      <c r="K197" s="5"/>
    </row>
    <row r="198" spans="9:11">
      <c r="I198" s="5"/>
      <c r="J198" s="5"/>
      <c r="K198" s="5"/>
    </row>
    <row r="199" spans="9:11">
      <c r="I199" s="5"/>
      <c r="J199" s="5"/>
      <c r="K199" s="5"/>
    </row>
    <row r="200" spans="9:11">
      <c r="I200" s="5"/>
      <c r="J200" s="5"/>
      <c r="K200" s="5"/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N200"/>
  <sheetViews>
    <sheetView topLeftCell="D1" workbookViewId="0">
      <selection activeCell="J5" sqref="J5:J10"/>
    </sheetView>
  </sheetViews>
  <sheetFormatPr defaultRowHeight="14.25"/>
  <cols>
    <col min="1" max="1" width="14" customWidth="1"/>
    <col min="2" max="2" width="26" customWidth="1"/>
    <col min="3" max="3" width="16" customWidth="1"/>
    <col min="4" max="4" width="20" customWidth="1"/>
    <col min="5" max="5" width="24" customWidth="1"/>
    <col min="6" max="6" width="20" customWidth="1"/>
    <col min="7" max="7" width="38" customWidth="1"/>
    <col min="8" max="8" width="32" customWidth="1"/>
    <col min="9" max="9" width="14" customWidth="1"/>
    <col min="10" max="10" width="8" customWidth="1"/>
    <col min="11" max="11" width="14" customWidth="1"/>
    <col min="12" max="12" width="38" customWidth="1"/>
    <col min="13" max="13" width="42" customWidth="1"/>
    <col min="14" max="14" width="55" customWidth="1"/>
  </cols>
  <sheetData>
    <row r="1" spans="1:14" ht="18">
      <c r="A1" s="7" t="s">
        <v>763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pans="1:14">
      <c r="A2" s="8" t="s">
        <v>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4" spans="1:14" ht="30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</row>
    <row r="5" spans="1:14" ht="28.5">
      <c r="A5" s="3" t="s">
        <v>764</v>
      </c>
      <c r="B5" s="3" t="s">
        <v>765</v>
      </c>
      <c r="C5" s="3" t="s">
        <v>766</v>
      </c>
      <c r="D5" s="3" t="s">
        <v>767</v>
      </c>
      <c r="E5" s="3" t="s">
        <v>590</v>
      </c>
      <c r="F5" s="3" t="s">
        <v>768</v>
      </c>
      <c r="G5" s="3" t="s">
        <v>769</v>
      </c>
      <c r="H5" s="3" t="s">
        <v>770</v>
      </c>
      <c r="I5" s="4">
        <v>70</v>
      </c>
      <c r="J5" s="10">
        <v>2</v>
      </c>
      <c r="K5" s="4">
        <f t="shared" ref="K5:K11" si="0">IF(ISNUMBER(I5),I5*J5,"")</f>
        <v>140</v>
      </c>
      <c r="L5" s="3" t="s">
        <v>771</v>
      </c>
      <c r="M5" s="3" t="s">
        <v>772</v>
      </c>
      <c r="N5" s="3" t="s">
        <v>773</v>
      </c>
    </row>
    <row r="6" spans="1:14" ht="42.75">
      <c r="A6" s="3" t="s">
        <v>764</v>
      </c>
      <c r="B6" s="3" t="s">
        <v>774</v>
      </c>
      <c r="C6" s="3" t="s">
        <v>775</v>
      </c>
      <c r="D6" s="3" t="s">
        <v>776</v>
      </c>
      <c r="E6" s="3" t="s">
        <v>590</v>
      </c>
      <c r="F6" s="3" t="s">
        <v>777</v>
      </c>
      <c r="G6" s="3" t="s">
        <v>778</v>
      </c>
      <c r="H6" s="3" t="s">
        <v>779</v>
      </c>
      <c r="I6" s="4">
        <v>45</v>
      </c>
      <c r="J6" s="10">
        <v>4</v>
      </c>
      <c r="K6" s="4">
        <f t="shared" si="0"/>
        <v>180</v>
      </c>
      <c r="L6" s="3" t="s">
        <v>780</v>
      </c>
      <c r="M6" s="3" t="s">
        <v>781</v>
      </c>
      <c r="N6" s="3" t="s">
        <v>782</v>
      </c>
    </row>
    <row r="7" spans="1:14" ht="28.5">
      <c r="A7" s="3" t="s">
        <v>764</v>
      </c>
      <c r="B7" s="3" t="s">
        <v>783</v>
      </c>
      <c r="C7" s="3" t="s">
        <v>784</v>
      </c>
      <c r="D7" s="3" t="s">
        <v>785</v>
      </c>
      <c r="E7" s="3" t="s">
        <v>786</v>
      </c>
      <c r="F7" s="3" t="s">
        <v>482</v>
      </c>
      <c r="G7" s="3" t="s">
        <v>787</v>
      </c>
      <c r="H7" s="3" t="s">
        <v>788</v>
      </c>
      <c r="I7" s="4">
        <v>5</v>
      </c>
      <c r="J7" s="10">
        <v>1</v>
      </c>
      <c r="K7" s="4">
        <f t="shared" si="0"/>
        <v>5</v>
      </c>
      <c r="L7" s="3" t="s">
        <v>789</v>
      </c>
      <c r="M7" s="3" t="s">
        <v>790</v>
      </c>
      <c r="N7" s="3" t="s">
        <v>791</v>
      </c>
    </row>
    <row r="8" spans="1:14" ht="28.5">
      <c r="A8" s="3" t="s">
        <v>764</v>
      </c>
      <c r="B8" s="3" t="s">
        <v>792</v>
      </c>
      <c r="C8" s="3" t="s">
        <v>793</v>
      </c>
      <c r="D8" s="3" t="s">
        <v>794</v>
      </c>
      <c r="E8" s="3" t="s">
        <v>590</v>
      </c>
      <c r="F8" s="3" t="s">
        <v>795</v>
      </c>
      <c r="G8" s="3" t="s">
        <v>796</v>
      </c>
      <c r="H8" s="3" t="s">
        <v>797</v>
      </c>
      <c r="I8" s="4">
        <v>20</v>
      </c>
      <c r="J8" s="10">
        <v>1</v>
      </c>
      <c r="K8" s="4">
        <f t="shared" si="0"/>
        <v>20</v>
      </c>
      <c r="L8" s="3" t="s">
        <v>798</v>
      </c>
      <c r="M8" s="3" t="s">
        <v>799</v>
      </c>
      <c r="N8" s="3" t="s">
        <v>800</v>
      </c>
    </row>
    <row r="9" spans="1:14" ht="28.5">
      <c r="A9" s="3" t="s">
        <v>764</v>
      </c>
      <c r="B9" s="3" t="s">
        <v>801</v>
      </c>
      <c r="C9" s="3" t="s">
        <v>793</v>
      </c>
      <c r="D9" s="3" t="s">
        <v>802</v>
      </c>
      <c r="E9" s="3" t="s">
        <v>590</v>
      </c>
      <c r="F9" s="3" t="s">
        <v>803</v>
      </c>
      <c r="G9" s="3" t="s">
        <v>804</v>
      </c>
      <c r="H9" s="3" t="s">
        <v>805</v>
      </c>
      <c r="I9" s="4">
        <v>15</v>
      </c>
      <c r="J9" s="10">
        <v>1</v>
      </c>
      <c r="K9" s="4">
        <f t="shared" si="0"/>
        <v>15</v>
      </c>
      <c r="L9" s="3" t="s">
        <v>806</v>
      </c>
      <c r="M9" s="3" t="s">
        <v>807</v>
      </c>
      <c r="N9" s="3" t="s">
        <v>800</v>
      </c>
    </row>
    <row r="10" spans="1:14" ht="28.5">
      <c r="A10" s="3" t="s">
        <v>808</v>
      </c>
      <c r="B10" s="3" t="s">
        <v>809</v>
      </c>
      <c r="C10" s="3" t="s">
        <v>810</v>
      </c>
      <c r="D10" s="3" t="s">
        <v>811</v>
      </c>
      <c r="E10" s="3" t="s">
        <v>590</v>
      </c>
      <c r="F10" s="3" t="s">
        <v>590</v>
      </c>
      <c r="G10" s="3" t="s">
        <v>812</v>
      </c>
      <c r="H10" s="3" t="s">
        <v>813</v>
      </c>
      <c r="I10" s="4">
        <v>0</v>
      </c>
      <c r="J10" s="10">
        <v>1</v>
      </c>
      <c r="K10" s="4">
        <f t="shared" si="0"/>
        <v>0</v>
      </c>
      <c r="L10" s="3" t="s">
        <v>814</v>
      </c>
      <c r="M10" s="3" t="s">
        <v>815</v>
      </c>
      <c r="N10" s="3" t="s">
        <v>285</v>
      </c>
    </row>
    <row r="11" spans="1:14">
      <c r="I11" s="5"/>
      <c r="J11" s="5"/>
      <c r="K11" s="5" t="str">
        <f t="shared" si="0"/>
        <v/>
      </c>
    </row>
    <row r="12" spans="1:14">
      <c r="I12" s="5"/>
      <c r="J12" s="5"/>
      <c r="K12" s="5"/>
    </row>
    <row r="13" spans="1:14">
      <c r="I13" s="5"/>
      <c r="J13" s="5"/>
      <c r="K13" s="5"/>
    </row>
    <row r="14" spans="1:14">
      <c r="I14" s="5"/>
      <c r="J14" s="5"/>
      <c r="K14" s="5"/>
    </row>
    <row r="15" spans="1:14">
      <c r="I15" s="5"/>
      <c r="J15" s="5"/>
      <c r="K15" s="5"/>
    </row>
    <row r="16" spans="1:14">
      <c r="I16" s="5"/>
      <c r="J16" s="5"/>
      <c r="K16" s="5"/>
    </row>
    <row r="17" spans="9:11">
      <c r="I17" s="5"/>
      <c r="J17" s="5"/>
      <c r="K17" s="5"/>
    </row>
    <row r="18" spans="9:11">
      <c r="I18" s="5"/>
      <c r="J18" s="5"/>
      <c r="K18" s="5"/>
    </row>
    <row r="19" spans="9:11">
      <c r="I19" s="5"/>
      <c r="J19" s="5"/>
      <c r="K19" s="5"/>
    </row>
    <row r="20" spans="9:11">
      <c r="I20" s="5"/>
      <c r="J20" s="5"/>
      <c r="K20" s="5"/>
    </row>
    <row r="21" spans="9:11">
      <c r="I21" s="5"/>
      <c r="J21" s="5"/>
      <c r="K21" s="5"/>
    </row>
    <row r="22" spans="9:11">
      <c r="I22" s="5"/>
      <c r="J22" s="5"/>
      <c r="K22" s="5"/>
    </row>
    <row r="23" spans="9:11">
      <c r="I23" s="5"/>
      <c r="J23" s="5"/>
      <c r="K23" s="5"/>
    </row>
    <row r="24" spans="9:11">
      <c r="I24" s="5"/>
      <c r="J24" s="5"/>
      <c r="K24" s="5"/>
    </row>
    <row r="25" spans="9:11">
      <c r="I25" s="5"/>
      <c r="J25" s="5"/>
      <c r="K25" s="5"/>
    </row>
    <row r="26" spans="9:11">
      <c r="I26" s="5"/>
      <c r="J26" s="5"/>
      <c r="K26" s="5"/>
    </row>
    <row r="27" spans="9:11">
      <c r="I27" s="5"/>
      <c r="J27" s="5"/>
      <c r="K27" s="5"/>
    </row>
    <row r="28" spans="9:11">
      <c r="I28" s="5"/>
      <c r="J28" s="5"/>
      <c r="K28" s="5"/>
    </row>
    <row r="29" spans="9:11">
      <c r="I29" s="5"/>
      <c r="J29" s="5"/>
      <c r="K29" s="5"/>
    </row>
    <row r="30" spans="9:11">
      <c r="I30" s="5"/>
      <c r="J30" s="5"/>
      <c r="K30" s="5"/>
    </row>
    <row r="31" spans="9:11">
      <c r="I31" s="5"/>
      <c r="J31" s="5"/>
      <c r="K31" s="5"/>
    </row>
    <row r="32" spans="9:11">
      <c r="I32" s="5"/>
      <c r="J32" s="5"/>
      <c r="K32" s="5"/>
    </row>
    <row r="33" spans="9:11">
      <c r="I33" s="5"/>
      <c r="J33" s="5"/>
      <c r="K33" s="5"/>
    </row>
    <row r="34" spans="9:11">
      <c r="I34" s="5"/>
      <c r="J34" s="5"/>
      <c r="K34" s="5"/>
    </row>
    <row r="35" spans="9:11">
      <c r="I35" s="5"/>
      <c r="J35" s="5"/>
      <c r="K35" s="5"/>
    </row>
    <row r="36" spans="9:11">
      <c r="I36" s="5"/>
      <c r="J36" s="5"/>
      <c r="K36" s="5"/>
    </row>
    <row r="37" spans="9:11">
      <c r="I37" s="5"/>
      <c r="J37" s="5"/>
      <c r="K37" s="5"/>
    </row>
    <row r="38" spans="9:11">
      <c r="I38" s="5"/>
      <c r="J38" s="5"/>
      <c r="K38" s="5"/>
    </row>
    <row r="39" spans="9:11">
      <c r="I39" s="5"/>
      <c r="J39" s="5"/>
      <c r="K39" s="5"/>
    </row>
    <row r="40" spans="9:11">
      <c r="I40" s="5"/>
      <c r="J40" s="5"/>
      <c r="K40" s="5"/>
    </row>
    <row r="41" spans="9:11">
      <c r="I41" s="5"/>
      <c r="J41" s="5"/>
      <c r="K41" s="5"/>
    </row>
    <row r="42" spans="9:11">
      <c r="I42" s="5"/>
      <c r="J42" s="5"/>
      <c r="K42" s="5"/>
    </row>
    <row r="43" spans="9:11">
      <c r="I43" s="5"/>
      <c r="J43" s="5"/>
      <c r="K43" s="5"/>
    </row>
    <row r="44" spans="9:11">
      <c r="I44" s="5"/>
      <c r="J44" s="5"/>
      <c r="K44" s="5"/>
    </row>
    <row r="45" spans="9:11">
      <c r="I45" s="5"/>
      <c r="J45" s="5"/>
      <c r="K45" s="5"/>
    </row>
    <row r="46" spans="9:11">
      <c r="I46" s="5"/>
      <c r="J46" s="5"/>
      <c r="K46" s="5"/>
    </row>
    <row r="47" spans="9:11">
      <c r="I47" s="5"/>
      <c r="J47" s="5"/>
      <c r="K47" s="5"/>
    </row>
    <row r="48" spans="9:11">
      <c r="I48" s="5"/>
      <c r="J48" s="5"/>
      <c r="K48" s="5"/>
    </row>
    <row r="49" spans="9:11">
      <c r="I49" s="5"/>
      <c r="J49" s="5"/>
      <c r="K49" s="5"/>
    </row>
    <row r="50" spans="9:11">
      <c r="I50" s="5"/>
      <c r="J50" s="5"/>
      <c r="K50" s="5"/>
    </row>
    <row r="51" spans="9:11">
      <c r="I51" s="5"/>
      <c r="J51" s="5"/>
      <c r="K51" s="5"/>
    </row>
    <row r="52" spans="9:11">
      <c r="I52" s="5"/>
      <c r="J52" s="5"/>
      <c r="K52" s="5"/>
    </row>
    <row r="53" spans="9:11">
      <c r="I53" s="5"/>
      <c r="J53" s="5"/>
      <c r="K53" s="5"/>
    </row>
    <row r="54" spans="9:11">
      <c r="I54" s="5"/>
      <c r="J54" s="5"/>
      <c r="K54" s="5"/>
    </row>
    <row r="55" spans="9:11">
      <c r="I55" s="5"/>
      <c r="J55" s="5"/>
      <c r="K55" s="5"/>
    </row>
    <row r="56" spans="9:11">
      <c r="I56" s="5"/>
      <c r="J56" s="5"/>
      <c r="K56" s="5"/>
    </row>
    <row r="57" spans="9:11">
      <c r="I57" s="5"/>
      <c r="J57" s="5"/>
      <c r="K57" s="5"/>
    </row>
    <row r="58" spans="9:11">
      <c r="I58" s="5"/>
      <c r="J58" s="5"/>
      <c r="K58" s="5"/>
    </row>
    <row r="59" spans="9:11">
      <c r="I59" s="5"/>
      <c r="J59" s="5"/>
      <c r="K59" s="5"/>
    </row>
    <row r="60" spans="9:11">
      <c r="I60" s="5"/>
      <c r="J60" s="5"/>
      <c r="K60" s="5"/>
    </row>
    <row r="61" spans="9:11">
      <c r="I61" s="5"/>
      <c r="J61" s="5"/>
      <c r="K61" s="5"/>
    </row>
    <row r="62" spans="9:11">
      <c r="I62" s="5"/>
      <c r="J62" s="5"/>
      <c r="K62" s="5"/>
    </row>
    <row r="63" spans="9:11">
      <c r="I63" s="5"/>
      <c r="J63" s="5"/>
      <c r="K63" s="5"/>
    </row>
    <row r="64" spans="9:11">
      <c r="I64" s="5"/>
      <c r="J64" s="5"/>
      <c r="K64" s="5"/>
    </row>
    <row r="65" spans="9:11">
      <c r="I65" s="5"/>
      <c r="J65" s="5"/>
      <c r="K65" s="5"/>
    </row>
    <row r="66" spans="9:11">
      <c r="I66" s="5"/>
      <c r="J66" s="5"/>
      <c r="K66" s="5"/>
    </row>
    <row r="67" spans="9:11">
      <c r="I67" s="5"/>
      <c r="J67" s="5"/>
      <c r="K67" s="5"/>
    </row>
    <row r="68" spans="9:11">
      <c r="I68" s="5"/>
      <c r="J68" s="5"/>
      <c r="K68" s="5"/>
    </row>
    <row r="69" spans="9:11">
      <c r="I69" s="5"/>
      <c r="J69" s="5"/>
      <c r="K69" s="5"/>
    </row>
    <row r="70" spans="9:11">
      <c r="I70" s="5"/>
      <c r="J70" s="5"/>
      <c r="K70" s="5"/>
    </row>
    <row r="71" spans="9:11">
      <c r="I71" s="5"/>
      <c r="J71" s="5"/>
      <c r="K71" s="5"/>
    </row>
    <row r="72" spans="9:11">
      <c r="I72" s="5"/>
      <c r="J72" s="5"/>
      <c r="K72" s="5"/>
    </row>
    <row r="73" spans="9:11">
      <c r="I73" s="5"/>
      <c r="J73" s="5"/>
      <c r="K73" s="5"/>
    </row>
    <row r="74" spans="9:11">
      <c r="I74" s="5"/>
      <c r="J74" s="5"/>
      <c r="K74" s="5"/>
    </row>
    <row r="75" spans="9:11">
      <c r="I75" s="5"/>
      <c r="J75" s="5"/>
      <c r="K75" s="5"/>
    </row>
    <row r="76" spans="9:11">
      <c r="I76" s="5"/>
      <c r="J76" s="5"/>
      <c r="K76" s="5"/>
    </row>
    <row r="77" spans="9:11">
      <c r="I77" s="5"/>
      <c r="J77" s="5"/>
      <c r="K77" s="5"/>
    </row>
    <row r="78" spans="9:11">
      <c r="I78" s="5"/>
      <c r="J78" s="5"/>
      <c r="K78" s="5"/>
    </row>
    <row r="79" spans="9:11">
      <c r="I79" s="5"/>
      <c r="J79" s="5"/>
      <c r="K79" s="5"/>
    </row>
    <row r="80" spans="9:11">
      <c r="I80" s="5"/>
      <c r="J80" s="5"/>
      <c r="K80" s="5"/>
    </row>
    <row r="81" spans="9:11">
      <c r="I81" s="5"/>
      <c r="J81" s="5"/>
      <c r="K81" s="5"/>
    </row>
    <row r="82" spans="9:11">
      <c r="I82" s="5"/>
      <c r="J82" s="5"/>
      <c r="K82" s="5"/>
    </row>
    <row r="83" spans="9:11">
      <c r="I83" s="5"/>
      <c r="J83" s="5"/>
      <c r="K83" s="5"/>
    </row>
    <row r="84" spans="9:11">
      <c r="I84" s="5"/>
      <c r="J84" s="5"/>
      <c r="K84" s="5"/>
    </row>
    <row r="85" spans="9:11">
      <c r="I85" s="5"/>
      <c r="J85" s="5"/>
      <c r="K85" s="5"/>
    </row>
    <row r="86" spans="9:11">
      <c r="I86" s="5"/>
      <c r="J86" s="5"/>
      <c r="K86" s="5"/>
    </row>
    <row r="87" spans="9:11">
      <c r="I87" s="5"/>
      <c r="J87" s="5"/>
      <c r="K87" s="5"/>
    </row>
    <row r="88" spans="9:11">
      <c r="I88" s="5"/>
      <c r="J88" s="5"/>
      <c r="K88" s="5"/>
    </row>
    <row r="89" spans="9:11">
      <c r="I89" s="5"/>
      <c r="J89" s="5"/>
      <c r="K89" s="5"/>
    </row>
    <row r="90" spans="9:11">
      <c r="I90" s="5"/>
      <c r="J90" s="5"/>
      <c r="K90" s="5"/>
    </row>
    <row r="91" spans="9:11">
      <c r="I91" s="5"/>
      <c r="J91" s="5"/>
      <c r="K91" s="5"/>
    </row>
    <row r="92" spans="9:11">
      <c r="I92" s="5"/>
      <c r="J92" s="5"/>
      <c r="K92" s="5"/>
    </row>
    <row r="93" spans="9:11">
      <c r="I93" s="5"/>
      <c r="J93" s="5"/>
      <c r="K93" s="5"/>
    </row>
    <row r="94" spans="9:11">
      <c r="I94" s="5"/>
      <c r="J94" s="5"/>
      <c r="K94" s="5"/>
    </row>
    <row r="95" spans="9:11">
      <c r="I95" s="5"/>
      <c r="J95" s="5"/>
      <c r="K95" s="5"/>
    </row>
    <row r="96" spans="9:11">
      <c r="I96" s="5"/>
      <c r="J96" s="5"/>
      <c r="K96" s="5"/>
    </row>
    <row r="97" spans="9:11">
      <c r="I97" s="5"/>
      <c r="J97" s="5"/>
      <c r="K97" s="5"/>
    </row>
    <row r="98" spans="9:11">
      <c r="I98" s="5"/>
      <c r="J98" s="5"/>
      <c r="K98" s="5"/>
    </row>
    <row r="99" spans="9:11">
      <c r="I99" s="5"/>
      <c r="J99" s="5"/>
      <c r="K99" s="5"/>
    </row>
    <row r="100" spans="9:11">
      <c r="I100" s="5"/>
      <c r="J100" s="5"/>
      <c r="K100" s="5"/>
    </row>
    <row r="101" spans="9:11">
      <c r="I101" s="5"/>
      <c r="J101" s="5"/>
      <c r="K101" s="5"/>
    </row>
    <row r="102" spans="9:11">
      <c r="I102" s="5"/>
      <c r="J102" s="5"/>
      <c r="K102" s="5"/>
    </row>
    <row r="103" spans="9:11">
      <c r="I103" s="5"/>
      <c r="J103" s="5"/>
      <c r="K103" s="5"/>
    </row>
    <row r="104" spans="9:11">
      <c r="I104" s="5"/>
      <c r="J104" s="5"/>
      <c r="K104" s="5"/>
    </row>
    <row r="105" spans="9:11">
      <c r="I105" s="5"/>
      <c r="J105" s="5"/>
      <c r="K105" s="5"/>
    </row>
    <row r="106" spans="9:11">
      <c r="I106" s="5"/>
      <c r="J106" s="5"/>
      <c r="K106" s="5"/>
    </row>
    <row r="107" spans="9:11">
      <c r="I107" s="5"/>
      <c r="J107" s="5"/>
      <c r="K107" s="5"/>
    </row>
    <row r="108" spans="9:11">
      <c r="I108" s="5"/>
      <c r="J108" s="5"/>
      <c r="K108" s="5"/>
    </row>
    <row r="109" spans="9:11">
      <c r="I109" s="5"/>
      <c r="J109" s="5"/>
      <c r="K109" s="5"/>
    </row>
    <row r="110" spans="9:11">
      <c r="I110" s="5"/>
      <c r="J110" s="5"/>
      <c r="K110" s="5"/>
    </row>
    <row r="111" spans="9:11">
      <c r="I111" s="5"/>
      <c r="J111" s="5"/>
      <c r="K111" s="5"/>
    </row>
    <row r="112" spans="9:11">
      <c r="I112" s="5"/>
      <c r="J112" s="5"/>
      <c r="K112" s="5"/>
    </row>
    <row r="113" spans="9:11">
      <c r="I113" s="5"/>
      <c r="J113" s="5"/>
      <c r="K113" s="5"/>
    </row>
    <row r="114" spans="9:11">
      <c r="I114" s="5"/>
      <c r="J114" s="5"/>
      <c r="K114" s="5"/>
    </row>
    <row r="115" spans="9:11">
      <c r="I115" s="5"/>
      <c r="J115" s="5"/>
      <c r="K115" s="5"/>
    </row>
    <row r="116" spans="9:11">
      <c r="I116" s="5"/>
      <c r="J116" s="5"/>
      <c r="K116" s="5"/>
    </row>
    <row r="117" spans="9:11">
      <c r="I117" s="5"/>
      <c r="J117" s="5"/>
      <c r="K117" s="5"/>
    </row>
    <row r="118" spans="9:11">
      <c r="I118" s="5"/>
      <c r="J118" s="5"/>
      <c r="K118" s="5"/>
    </row>
    <row r="119" spans="9:11">
      <c r="I119" s="5"/>
      <c r="J119" s="5"/>
      <c r="K119" s="5"/>
    </row>
    <row r="120" spans="9:11">
      <c r="I120" s="5"/>
      <c r="J120" s="5"/>
      <c r="K120" s="5"/>
    </row>
    <row r="121" spans="9:11">
      <c r="I121" s="5"/>
      <c r="J121" s="5"/>
      <c r="K121" s="5"/>
    </row>
    <row r="122" spans="9:11">
      <c r="I122" s="5"/>
      <c r="J122" s="5"/>
      <c r="K122" s="5"/>
    </row>
    <row r="123" spans="9:11">
      <c r="I123" s="5"/>
      <c r="J123" s="5"/>
      <c r="K123" s="5"/>
    </row>
    <row r="124" spans="9:11">
      <c r="I124" s="5"/>
      <c r="J124" s="5"/>
      <c r="K124" s="5"/>
    </row>
    <row r="125" spans="9:11">
      <c r="I125" s="5"/>
      <c r="J125" s="5"/>
      <c r="K125" s="5"/>
    </row>
    <row r="126" spans="9:11">
      <c r="I126" s="5"/>
      <c r="J126" s="5"/>
      <c r="K126" s="5"/>
    </row>
    <row r="127" spans="9:11">
      <c r="I127" s="5"/>
      <c r="J127" s="5"/>
      <c r="K127" s="5"/>
    </row>
    <row r="128" spans="9:11">
      <c r="I128" s="5"/>
      <c r="J128" s="5"/>
      <c r="K128" s="5"/>
    </row>
    <row r="129" spans="9:11">
      <c r="I129" s="5"/>
      <c r="J129" s="5"/>
      <c r="K129" s="5"/>
    </row>
    <row r="130" spans="9:11">
      <c r="I130" s="5"/>
      <c r="J130" s="5"/>
      <c r="K130" s="5"/>
    </row>
    <row r="131" spans="9:11">
      <c r="I131" s="5"/>
      <c r="J131" s="5"/>
      <c r="K131" s="5"/>
    </row>
    <row r="132" spans="9:11">
      <c r="I132" s="5"/>
      <c r="J132" s="5"/>
      <c r="K132" s="5"/>
    </row>
    <row r="133" spans="9:11">
      <c r="I133" s="5"/>
      <c r="J133" s="5"/>
      <c r="K133" s="5"/>
    </row>
    <row r="134" spans="9:11">
      <c r="I134" s="5"/>
      <c r="J134" s="5"/>
      <c r="K134" s="5"/>
    </row>
    <row r="135" spans="9:11">
      <c r="I135" s="5"/>
      <c r="J135" s="5"/>
      <c r="K135" s="5"/>
    </row>
    <row r="136" spans="9:11">
      <c r="I136" s="5"/>
      <c r="J136" s="5"/>
      <c r="K136" s="5"/>
    </row>
    <row r="137" spans="9:11">
      <c r="I137" s="5"/>
      <c r="J137" s="5"/>
      <c r="K137" s="5"/>
    </row>
    <row r="138" spans="9:11">
      <c r="I138" s="5"/>
      <c r="J138" s="5"/>
      <c r="K138" s="5"/>
    </row>
    <row r="139" spans="9:11">
      <c r="I139" s="5"/>
      <c r="J139" s="5"/>
      <c r="K139" s="5"/>
    </row>
    <row r="140" spans="9:11">
      <c r="I140" s="5"/>
      <c r="J140" s="5"/>
      <c r="K140" s="5"/>
    </row>
    <row r="141" spans="9:11">
      <c r="I141" s="5"/>
      <c r="J141" s="5"/>
      <c r="K141" s="5"/>
    </row>
    <row r="142" spans="9:11">
      <c r="I142" s="5"/>
      <c r="J142" s="5"/>
      <c r="K142" s="5"/>
    </row>
    <row r="143" spans="9:11">
      <c r="I143" s="5"/>
      <c r="J143" s="5"/>
      <c r="K143" s="5"/>
    </row>
    <row r="144" spans="9:11">
      <c r="I144" s="5"/>
      <c r="J144" s="5"/>
      <c r="K144" s="5"/>
    </row>
    <row r="145" spans="9:11">
      <c r="I145" s="5"/>
      <c r="J145" s="5"/>
      <c r="K145" s="5"/>
    </row>
    <row r="146" spans="9:11">
      <c r="I146" s="5"/>
      <c r="J146" s="5"/>
      <c r="K146" s="5"/>
    </row>
    <row r="147" spans="9:11">
      <c r="I147" s="5"/>
      <c r="J147" s="5"/>
      <c r="K147" s="5"/>
    </row>
    <row r="148" spans="9:11">
      <c r="I148" s="5"/>
      <c r="J148" s="5"/>
      <c r="K148" s="5"/>
    </row>
    <row r="149" spans="9:11">
      <c r="I149" s="5"/>
      <c r="J149" s="5"/>
      <c r="K149" s="5"/>
    </row>
    <row r="150" spans="9:11">
      <c r="I150" s="5"/>
      <c r="J150" s="5"/>
      <c r="K150" s="5"/>
    </row>
    <row r="151" spans="9:11">
      <c r="I151" s="5"/>
      <c r="J151" s="5"/>
      <c r="K151" s="5"/>
    </row>
    <row r="152" spans="9:11">
      <c r="I152" s="5"/>
      <c r="J152" s="5"/>
      <c r="K152" s="5"/>
    </row>
    <row r="153" spans="9:11">
      <c r="I153" s="5"/>
      <c r="J153" s="5"/>
      <c r="K153" s="5"/>
    </row>
    <row r="154" spans="9:11">
      <c r="I154" s="5"/>
      <c r="J154" s="5"/>
      <c r="K154" s="5"/>
    </row>
    <row r="155" spans="9:11">
      <c r="I155" s="5"/>
      <c r="J155" s="5"/>
      <c r="K155" s="5"/>
    </row>
    <row r="156" spans="9:11">
      <c r="I156" s="5"/>
      <c r="J156" s="5"/>
      <c r="K156" s="5"/>
    </row>
    <row r="157" spans="9:11">
      <c r="I157" s="5"/>
      <c r="J157" s="5"/>
      <c r="K157" s="5"/>
    </row>
    <row r="158" spans="9:11">
      <c r="I158" s="5"/>
      <c r="J158" s="5"/>
      <c r="K158" s="5"/>
    </row>
    <row r="159" spans="9:11">
      <c r="I159" s="5"/>
      <c r="J159" s="5"/>
      <c r="K159" s="5"/>
    </row>
    <row r="160" spans="9:11">
      <c r="I160" s="5"/>
      <c r="J160" s="5"/>
      <c r="K160" s="5"/>
    </row>
    <row r="161" spans="9:11">
      <c r="I161" s="5"/>
      <c r="J161" s="5"/>
      <c r="K161" s="5"/>
    </row>
    <row r="162" spans="9:11">
      <c r="I162" s="5"/>
      <c r="J162" s="5"/>
      <c r="K162" s="5"/>
    </row>
    <row r="163" spans="9:11">
      <c r="I163" s="5"/>
      <c r="J163" s="5"/>
      <c r="K163" s="5"/>
    </row>
    <row r="164" spans="9:11">
      <c r="I164" s="5"/>
      <c r="J164" s="5"/>
      <c r="K164" s="5"/>
    </row>
    <row r="165" spans="9:11">
      <c r="I165" s="5"/>
      <c r="J165" s="5"/>
      <c r="K165" s="5"/>
    </row>
    <row r="166" spans="9:11">
      <c r="I166" s="5"/>
      <c r="J166" s="5"/>
      <c r="K166" s="5"/>
    </row>
    <row r="167" spans="9:11">
      <c r="I167" s="5"/>
      <c r="J167" s="5"/>
      <c r="K167" s="5"/>
    </row>
    <row r="168" spans="9:11">
      <c r="I168" s="5"/>
      <c r="J168" s="5"/>
      <c r="K168" s="5"/>
    </row>
    <row r="169" spans="9:11">
      <c r="I169" s="5"/>
      <c r="J169" s="5"/>
      <c r="K169" s="5"/>
    </row>
    <row r="170" spans="9:11">
      <c r="I170" s="5"/>
      <c r="J170" s="5"/>
      <c r="K170" s="5"/>
    </row>
    <row r="171" spans="9:11">
      <c r="I171" s="5"/>
      <c r="J171" s="5"/>
      <c r="K171" s="5"/>
    </row>
    <row r="172" spans="9:11">
      <c r="I172" s="5"/>
      <c r="J172" s="5"/>
      <c r="K172" s="5"/>
    </row>
    <row r="173" spans="9:11">
      <c r="I173" s="5"/>
      <c r="J173" s="5"/>
      <c r="K173" s="5"/>
    </row>
    <row r="174" spans="9:11">
      <c r="I174" s="5"/>
      <c r="J174" s="5"/>
      <c r="K174" s="5"/>
    </row>
    <row r="175" spans="9:11">
      <c r="I175" s="5"/>
      <c r="J175" s="5"/>
      <c r="K175" s="5"/>
    </row>
    <row r="176" spans="9:11">
      <c r="I176" s="5"/>
      <c r="J176" s="5"/>
      <c r="K176" s="5"/>
    </row>
    <row r="177" spans="9:11">
      <c r="I177" s="5"/>
      <c r="J177" s="5"/>
      <c r="K177" s="5"/>
    </row>
    <row r="178" spans="9:11">
      <c r="I178" s="5"/>
      <c r="J178" s="5"/>
      <c r="K178" s="5"/>
    </row>
    <row r="179" spans="9:11">
      <c r="I179" s="5"/>
      <c r="J179" s="5"/>
      <c r="K179" s="5"/>
    </row>
    <row r="180" spans="9:11">
      <c r="I180" s="5"/>
      <c r="J180" s="5"/>
      <c r="K180" s="5"/>
    </row>
    <row r="181" spans="9:11">
      <c r="I181" s="5"/>
      <c r="J181" s="5"/>
      <c r="K181" s="5"/>
    </row>
    <row r="182" spans="9:11">
      <c r="I182" s="5"/>
      <c r="J182" s="5"/>
      <c r="K182" s="5"/>
    </row>
    <row r="183" spans="9:11">
      <c r="I183" s="5"/>
      <c r="J183" s="5"/>
      <c r="K183" s="5"/>
    </row>
    <row r="184" spans="9:11">
      <c r="I184" s="5"/>
      <c r="J184" s="5"/>
      <c r="K184" s="5"/>
    </row>
    <row r="185" spans="9:11">
      <c r="I185" s="5"/>
      <c r="J185" s="5"/>
      <c r="K185" s="5"/>
    </row>
    <row r="186" spans="9:11">
      <c r="I186" s="5"/>
      <c r="J186" s="5"/>
      <c r="K186" s="5"/>
    </row>
    <row r="187" spans="9:11">
      <c r="I187" s="5"/>
      <c r="J187" s="5"/>
      <c r="K187" s="5"/>
    </row>
    <row r="188" spans="9:11">
      <c r="I188" s="5"/>
      <c r="J188" s="5"/>
      <c r="K188" s="5"/>
    </row>
    <row r="189" spans="9:11">
      <c r="I189" s="5"/>
      <c r="J189" s="5"/>
      <c r="K189" s="5"/>
    </row>
    <row r="190" spans="9:11">
      <c r="I190" s="5"/>
      <c r="J190" s="5"/>
      <c r="K190" s="5"/>
    </row>
    <row r="191" spans="9:11">
      <c r="I191" s="5"/>
      <c r="J191" s="5"/>
      <c r="K191" s="5"/>
    </row>
    <row r="192" spans="9:11">
      <c r="I192" s="5"/>
      <c r="J192" s="5"/>
      <c r="K192" s="5"/>
    </row>
    <row r="193" spans="9:11">
      <c r="I193" s="5"/>
      <c r="J193" s="5"/>
      <c r="K193" s="5"/>
    </row>
    <row r="194" spans="9:11">
      <c r="I194" s="5"/>
      <c r="J194" s="5"/>
      <c r="K194" s="5"/>
    </row>
    <row r="195" spans="9:11">
      <c r="I195" s="5"/>
      <c r="J195" s="5"/>
      <c r="K195" s="5"/>
    </row>
    <row r="196" spans="9:11">
      <c r="I196" s="5"/>
      <c r="J196" s="5"/>
      <c r="K196" s="5"/>
    </row>
    <row r="197" spans="9:11">
      <c r="I197" s="5"/>
      <c r="J197" s="5"/>
      <c r="K197" s="5"/>
    </row>
    <row r="198" spans="9:11">
      <c r="I198" s="5"/>
      <c r="J198" s="5"/>
      <c r="K198" s="5"/>
    </row>
    <row r="199" spans="9:11">
      <c r="I199" s="5"/>
      <c r="J199" s="5"/>
      <c r="K199" s="5"/>
    </row>
    <row r="200" spans="9:11">
      <c r="I200" s="5"/>
      <c r="J200" s="5"/>
      <c r="K200" s="5"/>
    </row>
  </sheetData>
  <mergeCells count="2">
    <mergeCell ref="A1:N1"/>
    <mergeCell ref="A2:N2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12"/>
  <sheetViews>
    <sheetView workbookViewId="0">
      <selection sqref="A1:H1"/>
    </sheetView>
  </sheetViews>
  <sheetFormatPr defaultRowHeight="14.25"/>
  <cols>
    <col min="1" max="1" width="28" customWidth="1"/>
    <col min="2" max="2" width="36" customWidth="1"/>
    <col min="3" max="4" width="45" customWidth="1"/>
  </cols>
  <sheetData>
    <row r="1" spans="1:8" ht="18">
      <c r="A1" s="9" t="s">
        <v>816</v>
      </c>
      <c r="B1" s="9"/>
      <c r="C1" s="9"/>
      <c r="D1" s="9"/>
      <c r="E1" s="9"/>
      <c r="F1" s="9"/>
      <c r="G1" s="9"/>
      <c r="H1" s="9"/>
    </row>
    <row r="3" spans="1:8" ht="15">
      <c r="A3" s="6" t="s">
        <v>817</v>
      </c>
      <c r="B3" s="6" t="s">
        <v>818</v>
      </c>
      <c r="C3" s="6" t="s">
        <v>819</v>
      </c>
      <c r="D3" s="6" t="s">
        <v>820</v>
      </c>
    </row>
    <row r="4" spans="1:8" ht="28.5">
      <c r="A4" s="2" t="s">
        <v>821</v>
      </c>
      <c r="B4" s="2" t="s">
        <v>822</v>
      </c>
      <c r="C4" s="2" t="s">
        <v>823</v>
      </c>
      <c r="D4" s="2" t="s">
        <v>824</v>
      </c>
    </row>
    <row r="5" spans="1:8">
      <c r="A5" s="2" t="s">
        <v>825</v>
      </c>
      <c r="B5" s="2" t="s">
        <v>826</v>
      </c>
      <c r="C5" s="2" t="s">
        <v>827</v>
      </c>
      <c r="D5" s="2" t="s">
        <v>828</v>
      </c>
    </row>
    <row r="6" spans="1:8" ht="28.5">
      <c r="A6" s="2" t="s">
        <v>829</v>
      </c>
      <c r="B6" s="2" t="s">
        <v>830</v>
      </c>
      <c r="C6" s="2" t="s">
        <v>777</v>
      </c>
      <c r="D6" s="2" t="s">
        <v>831</v>
      </c>
    </row>
    <row r="7" spans="1:8" ht="28.5">
      <c r="A7" s="2" t="s">
        <v>832</v>
      </c>
      <c r="B7" s="2" t="s">
        <v>833</v>
      </c>
      <c r="C7" s="2" t="s">
        <v>834</v>
      </c>
      <c r="D7" s="2" t="s">
        <v>835</v>
      </c>
    </row>
    <row r="8" spans="1:8">
      <c r="A8" s="2" t="s">
        <v>836</v>
      </c>
      <c r="B8" s="2" t="s">
        <v>99</v>
      </c>
      <c r="C8" s="2" t="s">
        <v>837</v>
      </c>
      <c r="D8" s="2" t="s">
        <v>838</v>
      </c>
    </row>
    <row r="9" spans="1:8" ht="28.5">
      <c r="A9" s="2" t="s">
        <v>839</v>
      </c>
      <c r="B9" s="2" t="s">
        <v>840</v>
      </c>
      <c r="C9" s="2" t="s">
        <v>841</v>
      </c>
      <c r="D9" s="2" t="s">
        <v>842</v>
      </c>
    </row>
    <row r="10" spans="1:8" ht="28.5">
      <c r="A10" s="2" t="s">
        <v>843</v>
      </c>
      <c r="B10" s="2" t="s">
        <v>844</v>
      </c>
      <c r="C10" s="2" t="s">
        <v>845</v>
      </c>
      <c r="D10" s="2" t="s">
        <v>846</v>
      </c>
    </row>
    <row r="11" spans="1:8" ht="28.5">
      <c r="A11" s="2" t="s">
        <v>847</v>
      </c>
      <c r="B11" s="2" t="s">
        <v>848</v>
      </c>
      <c r="C11" s="2" t="s">
        <v>849</v>
      </c>
      <c r="D11" s="2" t="s">
        <v>850</v>
      </c>
    </row>
    <row r="12" spans="1:8" ht="28.5">
      <c r="A12" s="2" t="s">
        <v>851</v>
      </c>
      <c r="B12" s="2" t="s">
        <v>852</v>
      </c>
      <c r="C12" s="2" t="s">
        <v>853</v>
      </c>
      <c r="D12" s="2" t="s">
        <v>854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FC</vt:lpstr>
      <vt:lpstr>ESC</vt:lpstr>
      <vt:lpstr>Power_PDB</vt:lpstr>
      <vt:lpstr>BEC_ServoPower</vt:lpstr>
      <vt:lpstr>GPS_Compass</vt:lpstr>
      <vt:lpstr>Receivers</vt:lpstr>
      <vt:lpstr>Telemetry</vt:lpstr>
      <vt:lpstr>Airspeed</vt:lpstr>
      <vt:lpstr>Servos</vt:lpstr>
      <vt:lpstr>Battery_Motor_Misc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Nikola Nikolov</cp:lastModifiedBy>
  <dcterms:modified xsi:type="dcterms:W3CDTF">2026-05-18T14:03:14Z</dcterms:modified>
</cp:coreProperties>
</file>