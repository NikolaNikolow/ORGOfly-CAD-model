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1097411\Documents\GitHub\ORGOfly-CAD-Model\P01\P01_06_Procurement\"/>
    </mc:Choice>
  </mc:AlternateContent>
  <xr:revisionPtr revIDLastSave="0" documentId="13_ncr:1_{13665E8A-36D8-4D5F-9F02-AD80E8FAB20D}" xr6:coauthVersionLast="47" xr6:coauthVersionMax="47" xr10:uidLastSave="{00000000-0000-0000-0000-000000000000}"/>
  <bookViews>
    <workbookView xWindow="-108" yWindow="-108" windowWidth="23256" windowHeight="13896" activeTab="1" xr2:uid="{EEE73C29-3BDB-49EB-9C57-2FAD514C20AA}"/>
  </bookViews>
  <sheets>
    <sheet name="Background_info" sheetId="2" r:id="rId1"/>
    <sheet name="Main_Table" sheetId="1" r:id="rId2"/>
    <sheet name="Total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6" i="1" l="1"/>
  <c r="A31" i="1"/>
  <c r="J31" i="1"/>
  <c r="A30" i="1"/>
  <c r="J30" i="1"/>
  <c r="J29" i="1"/>
  <c r="A29" i="1"/>
  <c r="A28" i="1"/>
  <c r="J28" i="1"/>
  <c r="J12" i="1"/>
  <c r="A12" i="1"/>
  <c r="A10" i="1"/>
  <c r="A11" i="1"/>
  <c r="A13" i="1"/>
  <c r="A14" i="1"/>
  <c r="A15" i="1"/>
  <c r="A16" i="1"/>
  <c r="A17" i="1"/>
  <c r="A18" i="1"/>
  <c r="A19" i="1"/>
  <c r="A20" i="1"/>
  <c r="A23" i="1"/>
  <c r="A24" i="1"/>
  <c r="A25" i="1"/>
  <c r="A26" i="1"/>
  <c r="A27" i="1"/>
  <c r="J22" i="1"/>
  <c r="J23" i="1"/>
  <c r="J24" i="1"/>
  <c r="J25" i="1"/>
  <c r="J26" i="1"/>
  <c r="J27" i="1"/>
  <c r="A4" i="1"/>
  <c r="A5" i="1"/>
  <c r="A7" i="1"/>
  <c r="A8" i="1"/>
  <c r="A9" i="1"/>
  <c r="A3" i="1"/>
  <c r="J4" i="1"/>
  <c r="J3" i="1"/>
  <c r="J7" i="1"/>
  <c r="J6" i="1"/>
  <c r="J8" i="1"/>
  <c r="J9" i="1"/>
  <c r="J10" i="1"/>
  <c r="J11" i="1"/>
  <c r="J13" i="1"/>
  <c r="J14" i="1"/>
  <c r="J15" i="1"/>
  <c r="J16" i="1"/>
  <c r="J17" i="1"/>
  <c r="J18" i="1"/>
  <c r="J19" i="1"/>
  <c r="J20" i="1"/>
  <c r="J21" i="1"/>
  <c r="J5" i="1"/>
</calcChain>
</file>

<file path=xl/sharedStrings.xml><?xml version="1.0" encoding="utf-8"?>
<sst xmlns="http://schemas.openxmlformats.org/spreadsheetml/2006/main" count="240" uniqueCount="136">
  <si>
    <t>#</t>
  </si>
  <si>
    <t>Domain</t>
  </si>
  <si>
    <t>Quantity</t>
  </si>
  <si>
    <t>Unit</t>
  </si>
  <si>
    <t>pcs</t>
  </si>
  <si>
    <t>kg</t>
  </si>
  <si>
    <t>meters</t>
  </si>
  <si>
    <t>sheets</t>
  </si>
  <si>
    <t>Supplier/Link</t>
  </si>
  <si>
    <t>Status</t>
  </si>
  <si>
    <t>approved</t>
  </si>
  <si>
    <t>ordered</t>
  </si>
  <si>
    <t>received</t>
  </si>
  <si>
    <t>rejected</t>
  </si>
  <si>
    <t>Notes</t>
  </si>
  <si>
    <t>Item Name</t>
  </si>
  <si>
    <t>Item Description</t>
  </si>
  <si>
    <t>Subsystem</t>
  </si>
  <si>
    <t>Propulsion</t>
  </si>
  <si>
    <t>Power</t>
  </si>
  <si>
    <t>Business</t>
  </si>
  <si>
    <t>Other</t>
  </si>
  <si>
    <t>Lead Time</t>
  </si>
  <si>
    <t>Please add components here only after selection process has been finished!</t>
  </si>
  <si>
    <t>Airframe and Structures</t>
  </si>
  <si>
    <t>Flight Control and Avionics</t>
  </si>
  <si>
    <t>Control Surfaces and Mechanisms</t>
  </si>
  <si>
    <t>Payload and Medical Transport System</t>
  </si>
  <si>
    <t>Communications and Ground Equipment</t>
  </si>
  <si>
    <t>Manufacturing and prototyping</t>
  </si>
  <si>
    <t>Fasteners and Consumables</t>
  </si>
  <si>
    <t>Testing and Safety Equipment</t>
  </si>
  <si>
    <t xml:space="preserve">OrgoFly Domain </t>
  </si>
  <si>
    <t>n/a</t>
  </si>
  <si>
    <t>Total price (€)</t>
  </si>
  <si>
    <t>Price (€)</t>
  </si>
  <si>
    <t>pending</t>
  </si>
  <si>
    <t>CF Tube 22x20mm</t>
  </si>
  <si>
    <t>PA6+CF filament</t>
  </si>
  <si>
    <t>CF Tube 6x4mm</t>
  </si>
  <si>
    <t>CF Tube 20x18mm</t>
  </si>
  <si>
    <t>x1000mm</t>
  </si>
  <si>
    <t>Delivery price (€)</t>
  </si>
  <si>
    <t>https://www.aliexpress.com/item/1005010143310151.html?spm=a2g0o.productlist.main.3.26867c47eNIIX8&amp;algo_pvid=a0a1c9bc-aaa9-43aa-905d-66f8a77d08a7&amp;algo_exp_id=a0a1c9bc-aaa9-43aa-905d-66f8a77d08a7-2&amp;pdp_ext_f=%7B%22order%22%3A%22230%22%2C%22eval%22%3A%221%22%2C%22fromPage%22%3A%22search%22%7D&amp;pdp_npi=6%40dis%21EUR%2138.62%2138.44%21%21%2143.80%2143.60%21%40212e508f17817230884093688e2c48%2112000051359404635%21sea%21BG%21892667464%21ABX%211%210%21n_tag%3A-29910%3Bd%3Ab8d743bc%3Bm03_new_user%3A-29895%3BpisId%3A5000000204855994&amp;curPageLogUid=HADK0WdyQEtP&amp;utparam-url=scene%3Asearch%7Cquery_from%3A%7Cx_object_id%3A1005010143310151%7C_p_origin_prod%3A</t>
  </si>
  <si>
    <t>6-12days</t>
  </si>
  <si>
    <t>500g</t>
  </si>
  <si>
    <t>only for structural parts</t>
  </si>
  <si>
    <t>PLA lightweight filament</t>
  </si>
  <si>
    <t>6-10days</t>
  </si>
  <si>
    <t>1kg - White!</t>
  </si>
  <si>
    <t>Antenna</t>
  </si>
  <si>
    <t>Multiple-cell battery</t>
  </si>
  <si>
    <t>Unpolarized capacitor</t>
  </si>
  <si>
    <t>SQESC_12100</t>
  </si>
  <si>
    <t>HGLRC_M100_Pro</t>
  </si>
  <si>
    <t>Servo Motor (JR connector)</t>
  </si>
  <si>
    <t>370 uF capacitor</t>
  </si>
  <si>
    <t>Turnigy_HD_6S_5Ah5_60C_LiPo</t>
  </si>
  <si>
    <t>Foxeer Mini Cat 4 1200TVL</t>
  </si>
  <si>
    <t>FPV Camera</t>
  </si>
  <si>
    <t>Power connector</t>
  </si>
  <si>
    <t>Mini Servo</t>
  </si>
  <si>
    <t>Motor</t>
  </si>
  <si>
    <t>TBS Crossfire Diversity Nano Rx</t>
  </si>
  <si>
    <t>FPV LONG RANGE DRONE RECEIVER</t>
  </si>
  <si>
    <t>ULTRA 25-1600mW 4.9-5.8G 64CH</t>
  </si>
  <si>
    <t>MATEKSYS XCLAS PDB FCHUB-12S</t>
  </si>
  <si>
    <t>Power Distribution Board</t>
  </si>
  <si>
    <t>GPS with Compass</t>
  </si>
  <si>
    <t>MATEKSYS_F405-HDTE  12 PWM</t>
  </si>
  <si>
    <t>Flight Controller</t>
  </si>
  <si>
    <t>Electronic Speed Controller</t>
  </si>
  <si>
    <t>Video Transmitter</t>
  </si>
  <si>
    <t>https://hobbyking.com/en_us/turnigy-heavy-duty-5500mah-6s-60c-lipo-pack-w-xt90.html</t>
  </si>
  <si>
    <t>https://n-factory.de/F405-WING_15?srsltid=AfmBOorJLigbjhDd51Re4u0jHc0Jw6epVL2ePDy3WgvZ8yOpSwySAvJh</t>
  </si>
  <si>
    <t>Sold in bulk</t>
  </si>
  <si>
    <t>https://sequremall.com/products/sequre-12100-brushless-electric-speed-controller-5-12s-power-supply-100a-blheli_32-am32-firmware-support-128khz-pwm-frequency-suitable-for-multi-rotor-aircrafts-airplane-models-plant-protection-machine-boat-models-rc-car-models?srsltid=AfmBOoqD3cKLbLKnMnpXxBff0019A01XQKeqCUJ8P-pC8NoTSW-f13nF</t>
  </si>
  <si>
    <t>Sold in bulk. 8 pairs needed</t>
  </si>
  <si>
    <t>https://www.amazon.de/-/en/HAXIHA-Battery-Connectors-Connector-Current-Pack-20-XT90/dp/B0F8914WTT/ref=sr_1_8?crid=3OZBHNPL6RRCJ&amp;dib=eyJ2IjoiMSJ9.ELU5HE2AqFpDy8xZeyhowEBvzt0Jdvcoxheaz9pNyfWQqI8F7CHyE9iCFhhg2h1SfLmhIaMf1mNFh9H62Nxwja70hUmdhOfmhzY2CjDv70npxhA_c3MXC-zkVkeBttQdMU1Zdq9_KBYeElfuxRMIk5K7A0gtovw9QVCSFDZ4dFhSAdp7nSFB3va-wbwVjV_zQ0HR6w-aVbGPjeNxzewu9FPPXFicV7UguDyyznJctKq4LMokyDPwK2vE1ICdVmh2oS_o5aBV0FPE3K90fGSupxQWjFk76sR791TqqYw8G0s.s4r_dP4cebl1DPDP7JN6xQxZe1hPSZwhB17M5TXeC-o&amp;dib_tag=se&amp;keywords=xt90%2Bstecker&amp;qid=1781937738&amp;sprefix=xt90%2Caps%2C438&amp;sr=8-8&amp;th=1</t>
  </si>
  <si>
    <t>Pack of 20 XT90 Battery Connectors (10 pairs)</t>
  </si>
  <si>
    <t>Sold in bulk. 12 pieces needed</t>
  </si>
  <si>
    <t>15 Pairs 4 mm Gold-Plated Banana Plugs</t>
  </si>
  <si>
    <t>https://www.amazon.de/-/en/GTIWUNG-Gold-Plated-Banana-Electronic-Female/dp/B07VYSN74H/ref=sr_1_5?crid=APMI9MQX3WE2&amp;dib=eyJ2IjoiMSJ9.-cW-SSoe0GSHrNsLkRt9yngk1JanAkJizVf6_lDHjiFuGASGCZd7VJNFVoJx-DFycKud1bujMbVo7p6QFpPsBRoptt1FQBcFitZbMs7Wi9iGZe0pBWioIC_eaJFCviEzcVsFjMkbp3fSj3gJFmaIx2il0PsamgHdz0Hp0sgP9EZoiXo-cioUggGOjWz-EwEp8U6GbriLS9HrPPwzxdnIGnH2M2NfmndBUOR-gZ0h49k.afv3-GqfWZoQ04j4mk4hX-pGTr-_Vg53wNQGQkU68Ak&amp;dib_tag=se&amp;keywords=banana%2Bconnector%2Bgold%2Bplated%2B4mm&amp;qid=1781938148&amp;sprefix=banana%2Bconnector%2Bgold%2Bplated%2B4mm%2Bmale%2Caps%2C218&amp;sr=8-5&amp;th=1</t>
  </si>
  <si>
    <t>1.0 mm JST-SH connector kit</t>
  </si>
  <si>
    <t>https://www.amazon.de/-/en/YIXISI-Connector-Crimping-Compatible-Spektrum/dp/B0FLJYYJ1X/ref=sr_1_8?crid=DLFPTNQRJFMF&amp;dib=eyJ2IjoiMSJ9.Sm28qFOHTngE30hm3VP4eOtjd2abZ3sSyEzBdkn7et_CI4C9plCjc1qsvkl8lH_8bQCvZsXIa04zOgEY-2HZ17AyaGqpKwpIzL2xGxwFWkaERG3BJAmdYSOKF1NpQ50KihaOReXLXQi2lqu-u61LOHlPVKw8A0woZycIHPRDxeKmOz7RL9crjY2D4zP4MuTiKZQPgm7EvP8EnvKHzt0YLPBAm1MTGCP3doOh3RWHrwKj--N7SZND45GY4nPUJ_fmxErMJiYA-BwxBSgXgHscSlhZjoYmtlpUNz0LU3-Bi4w.UoiseN0r5MfYwKxD2vLpG4fWajG33ZKwsieXvEsn10I&amp;dib_tag=se&amp;keywords=jr%2Bconnector%2Bkit&amp;qid=1781938836&amp;sprefix=jr%2Bconnector%2Bkit%2Caps%2C141&amp;sr=8-8&amp;th=1</t>
  </si>
  <si>
    <t>JR connector kit</t>
  </si>
  <si>
    <t>JR connectors with precrimped cables</t>
  </si>
  <si>
    <t>https://www.amazon.com/Teansic-Connector-Pre-Crimped-Housing-Controller/dp/B0D5X6BY5Z/ref=sr_1_2?crid=1896QHIE821LQ&amp;dib=eyJ2IjoiMSJ9.ixsppeKruG_XOF9tIJPaQYS2BJ2s-wK4DBsLPosYOhRbNsfBj-nqAuzMLBe8INOt-XooiS1gojMahW_GhAV7fr7GbnHj1HfpiH5IPwmbZF8Pw4EI42CalwSTYxxvtG5GhZbeLsA6w3TxipLHqpodb7iyiPWM0bbvRu1dTRk6f3jTsz2nE0RYogekaJIrToinul51OcIdqhxLOAfyEfS8040fUr3R2919DFsRkcQB3s4.br5s-x0KJlXyK5jsDe49zrrxhG_SGewyV5dbeuW4Zok&amp;dib_tag=se&amp;keywords=jst+sh+kit&amp;qid=1781939623&amp;sprefix=jst+shkit%2Caps%2C220&amp;sr=8-2</t>
  </si>
  <si>
    <t>https://www.amazon.com/Connector-Housing-Adapter-Terminal-Connectors/dp/B0BZDCGJ32/ref=sr_1_13?crid=2ED5KSS7XQC2D&amp;dib=eyJ2IjoiMSJ9.VOLkIGEbGRieFamwLT-4DCszryrNfC6ESybvoywH1HTUlRSmF6Xw555wg0XZvLKpgNk2rBp9Uz-XEzjeoI9935hHBDaIoC_CSwZNJljxvSLBGSC6Z5si9t574dTUKflMiWcTet04ozSCeFMVpXOxmqipl4E60q2qZFv-ydiwk8-p0LXksomyS8gttXuIek7V0diGfXHTJwm1f8Zo71icFVG5zE9JuzrdJupKk-_B79kM4dfJTBpBpiXnrLgZCubX08EpxR9sNciXdeVGCwuARtn7jd1BMhy_J7-JDj8fBmA.zhFQpJbX4JuSwfEaliH3KmhtJslswUjDf1OgxGaDn6g&amp;dib_tag=se&amp;keywords=jst+kit&amp;qid=1781939686&amp;sprefix=jst+kit%2Caps%2C243&amp;sr=8-13</t>
  </si>
  <si>
    <t>JST XH connectors</t>
  </si>
  <si>
    <t>JST SH connectors with precrimped cables</t>
  </si>
  <si>
    <t>2.54 mm JST-XH connector kit</t>
  </si>
  <si>
    <t>https://www.aliexpress.com/item/1005003975746499.html?gatewayAdapt=deu2glo</t>
  </si>
  <si>
    <t>Brotherhobby Avenger 3120 500KV 4pcs</t>
  </si>
  <si>
    <t>7-14 days</t>
  </si>
  <si>
    <t>Sold in bulk. 4 500KV motors</t>
  </si>
  <si>
    <t>https://www.drone-fpv-racer.com/en/pdb-fchub-12s-v2-440a-bec-512v-by-matek-10435.html</t>
  </si>
  <si>
    <t>4-10 days</t>
  </si>
  <si>
    <t>https://n-factory.de/TBS-Crossfire-Diversity-Nano-RX-Receiver-FPV-Long-Range_1</t>
  </si>
  <si>
    <t>Order from the same place as FC and PDB for cheaper delivery</t>
  </si>
  <si>
    <t>Order from the same place as FC and RX for cheaper delivery</t>
  </si>
  <si>
    <t>Order from the same place as RX and PDB for cheaper delivery</t>
  </si>
  <si>
    <t>6-10 days</t>
  </si>
  <si>
    <t>Propellers</t>
  </si>
  <si>
    <t>https://www.aliexpress.com/item/1005009091133732.html</t>
  </si>
  <si>
    <t>HQ 10 x 5 x 3 2 pairs</t>
  </si>
  <si>
    <t>The ones we have test data for. Can change later</t>
  </si>
  <si>
    <t>4-7 days</t>
  </si>
  <si>
    <t>Servo to Shaft Coupler</t>
  </si>
  <si>
    <t>Shaft</t>
  </si>
  <si>
    <t>https://de.aliexpress.com/item/1005002809828245.html?spm=a2g0o.productlist.main.3.748eXfSsXfSs7Y&amp;algo_pvid=bd082ef1-520b-41ef-a3e1-2187c186d930&amp;algo_exp_id=bd082ef1-520b-41ef-a3e1-2187c186d930-2&amp;pdp_ext_f=%7B%22order%22%3A%2218%22%2C%22eval%22%3A%221%22%2C%22fromPage%22%3A%22search%22%7D&amp;pdp_npi=6%40dis%21EUR%217.65%217.19%21%21%218.55%218.04%21%400b15834e17843741284825723e0efc%2112000022295201218%21sea%21DE%210%21ABX%211%210%21n_tag%3A-29910%3Bd%3A23220bf0%3Bm03_new_user%3A-29895&amp;curPageLogUid=bsg7dXE6wM3i&amp;utparam-url=scene%3Asearch%7Cquery_from%3A%7Cx_object_id%3A1005002809828245%7C_p_origin_prod%3A</t>
  </si>
  <si>
    <t>https://de.aliexpress.com/item/1005012043076003.html?spm=a2g0o.productlist.main.1.734akWubkWubS6&amp;algo_pvid=72a68408-40b7-4073-b1de-9a88b68bfd7d&amp;algo_exp_id=72a68408-40b7-4073-b1de-9a88b68bfd7d-0&amp;pdp_ext_f=%7B%22order%22%3A%2219%22%2C%22spu_best_type%22%3A%22price%22%2C%22eval%22%3A%221%22%2C%22fromPage%22%3A%22search%22%7D&amp;pdp_npi=6%40dis%21EUR%2111.45%216.99%21%21%2186.66%2152.86%21%402161390417843739759033324e100c%2112000057366562845%21sea%21DE%210%21ABX%211%210%21n_tag%3A-29910%3Bd%3A23220bf0%3Bm03_new_user%3A-29895&amp;curPageLogUid=b41WCP6q7Yv6&amp;utparam-url=scene%3Asearch%7Cquery_from%3A%7Cx_object_id%3A1005012043076003%7C_p_origin_prod%3A</t>
  </si>
  <si>
    <t>D-Shaft  5x60mm</t>
  </si>
  <si>
    <t>Servo to Shaft Coupler  25T, 5mm Bore</t>
  </si>
  <si>
    <t>D-Shaft  5x45mm</t>
  </si>
  <si>
    <t>https://de.aliexpress.com/item/1005008084078658.html?spm=a2g0o.productlist.main.1.141fi6Rii6Rixp&amp;algo_pvid=20a221db-2b99-4b91-8b19-68befc329f31&amp;algo_exp_id=20a221db-2b99-4b91-8b19-68befc329f31-0&amp;pdp_ext_f=%7B%22order%22%3A%22411%22%2C%22eval%22%3A%221%22%2C%22fromPage%22%3A%22search%22%7D&amp;pdp_npi=6%40dis%21EUR%215.03%215.16%21%21%2138.10%2139.05%21%402103081117843750175155863e0d5b%2112000046474978340%21sea%21BG%210%21ABX%211%210%21n_tag%3A-29910%3Bd%3Ab8d743bc%3Bm03_new_user%3A-29895&amp;curPageLogUid=w2a4Ew33IG5l&amp;utparam-url=scene%3Asearch%7Cquery_from%3A%7Cx_object_id%3A1005008084078658%7C_p_origin_prod%3A&amp;gatewayAdapt=glo2deu</t>
  </si>
  <si>
    <t>Flanged Bearings 5x8x2.5mm</t>
  </si>
  <si>
    <t>Bearing come at 10 pcs</t>
  </si>
  <si>
    <t>https://3dprintx.bg/magazin/lw-pla-polylite-1-75-mm-0-8-kg-byal/?gad_source=1&amp;gad_campaignid=23369295043&amp;gbraid=0AAAABBeApTakpsbz_xdM7q_iQsCQTWH6b&amp;gclid=CjwKCAjw4dDTBhAqEiwAkHYmSltsrb_B0xt8ZKVKRAjDVP-SfQSydJNmmMURTd3Jy2valIBpp-DvshoC6SAQAvD_BwE</t>
  </si>
  <si>
    <t>https://www.aliexpress.com/item/1005002433587874.html?spm=a2g0o.productlist.main.13.6b98nGcWnGcWLU&amp;algo_pvid=867aa278-ebeb-4d5e-84d7-d57d98923c8e&amp;algo_exp_id=867aa278-ebeb-4d5e-84d7-d57d98923c8e-12&amp;pdp_ext_f=%7B%22order%22%3A%22285%22%2C%22eval%22%3A%221%22%2C%22fromPage%22%3A%22search%22%7D&amp;pdp_npi=6%40dis%21EUR%2131.04%2131.05%21%21%2134.94%2134.94%21%400b0fe0e117862726418795124e0da9%2112000033609672339%21sea%21BG%210%21ABX%211%210%21n_tag%3A-29910%3Bd%3Ab8d743bc%3Bm03_new_user%3A-29895&amp;curPageLogUid=4Gz3UoIpJ0b2&amp;utparam-url=scene%3Asearch%7Cquery_from%3A%7Cx_object_id%3A1005002433587874%7C_p_origin_prod%3A</t>
  </si>
  <si>
    <t>Active foaming PLA-LW material.
2 rolls of 1kg will be initially ordered.</t>
  </si>
  <si>
    <t>around 820mm needed for each half-wing</t>
  </si>
  <si>
    <t>CF Tube 18x16mm</t>
  </si>
  <si>
    <t>around 550mm needed per side
2 tubes per pack</t>
  </si>
  <si>
    <t>x600mm (2 tubes per pack)</t>
  </si>
  <si>
    <t>each</t>
  </si>
  <si>
    <t>https://www.aliexpress.com/item/1005006436550237.html?spm=a2g0o.cart.0.0.730838dax88ROf&amp;mp=1&amp;pdp_npi=6%40dis%21EUR%21EUR+12.80%21EUR+12.80%21%21EUR+12.80%21%21%21%402103973d17862847051156158e10ad%2112000037159963415%21ct%21BG%21793291276%21%211%210%21</t>
  </si>
  <si>
    <t>10-19days</t>
  </si>
  <si>
    <t>full 1000mm length needed for each half-wing.
2x944mm needed for structure inside fuselage.</t>
  </si>
  <si>
    <t>https://www.aliexpress.com/item/1005006797742158.html?spm=a2g0o.cart.0.0.730838dax88ROf&amp;mp=1&amp;pdp_npi=6%40dis%21EUR%21EUR+26.70%21EUR+23.23%21%21EUR+23.23%21%21%21%402103973d17862847051156158e10ad%2112000038337169331%21ct%21BG%21793291276%21%211%210%21</t>
  </si>
  <si>
    <t>10-20days</t>
  </si>
  <si>
    <t>around 180mm needed for the center wing box
around 550mm needed for each halfwing outbound
4tubes per pack</t>
  </si>
  <si>
    <t>x600mm (4 tubes per pack)</t>
  </si>
  <si>
    <t>https://www.easycomposites.eu/6mm-woven-finish-carbon-fibre-tube</t>
  </si>
  <si>
    <t>https://www.easycomposites.eu/22mm-woven-finish-carbon-fibre-tube</t>
  </si>
  <si>
    <t>2-6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</si>
</sst>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1"/>
      <name val="Aptos Narrow"/>
      <family val="2"/>
      <charset val="204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2">
    <xf numFmtId="0" fontId="0" fillId="0" borderId="0" xfId="0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1" fillId="0" borderId="0" xfId="0" applyFont="1"/>
    <xf numFmtId="0" fontId="2" fillId="2" borderId="0" xfId="0" applyFont="1" applyFill="1"/>
    <xf numFmtId="0" fontId="1" fillId="2" borderId="0" xfId="0" applyFont="1" applyFill="1"/>
    <xf numFmtId="0" fontId="0" fillId="2" borderId="0" xfId="0" applyFill="1" applyAlignment="1">
      <alignment horizontal="left"/>
    </xf>
    <xf numFmtId="0" fontId="3" fillId="2" borderId="1" xfId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4" fillId="2" borderId="1" xfId="0" applyFont="1" applyFill="1" applyBorder="1"/>
    <xf numFmtId="0" fontId="4" fillId="2" borderId="0" xfId="0" applyFont="1" applyFill="1"/>
    <xf numFmtId="0" fontId="4" fillId="0" borderId="0" xfId="0" applyFont="1"/>
    <xf numFmtId="0" fontId="4" fillId="2" borderId="1" xfId="0" applyFont="1" applyFill="1" applyBorder="1" applyAlignment="1">
      <alignment wrapText="1"/>
    </xf>
    <xf numFmtId="0" fontId="5" fillId="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wrapText="1"/>
    </xf>
    <xf numFmtId="0" fontId="0" fillId="2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3" fillId="2" borderId="0" xfId="1" applyFill="1"/>
    <xf numFmtId="0" fontId="0" fillId="0" borderId="1" xfId="0" applyBorder="1" applyAlignment="1">
      <alignment horizontal="center" vertical="center"/>
    </xf>
    <xf numFmtId="16" fontId="0" fillId="2" borderId="1" xfId="0" applyNumberForma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1" xfId="0" applyFill="1" applyBorder="1" applyAlignment="1">
      <alignment wrapText="1"/>
    </xf>
    <xf numFmtId="0" fontId="0" fillId="4" borderId="1" xfId="0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6"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C2EB15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6436550237.html?spm=a2g0o.cart.0.0.730838dax88ROf&amp;mp=1&amp;pdp_npi=6%40dis%21EUR%21EUR+12.80%21EUR+12.80%21%21EUR+12.80%21%21%21%402103973d17862847051156158e10ad%2112000037159963415%21ct%21BG%21793291276%21%211%210%21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3dprintx.bg/magazin/lw-pla-polylite-1-75-mm-0-8-kg-byal/?gad_source=1&amp;gad_campaignid=23369295043&amp;gbraid=0AAAABBeApTakpsbz_xdM7q_iQsCQTWH6b&amp;gclid=CjwKCAjw4dDTBhAqEiwAkHYmSltsrb_B0xt8ZKVKRAjDVP-SfQSydJNmmMURTd3Jy2valIBpp-DvshoC6SAQAvD_BwE" TargetMode="External"/><Relationship Id="rId1" Type="http://schemas.openxmlformats.org/officeDocument/2006/relationships/hyperlink" Target="https://3dprintx.bg/magazin/pa6-cf-with-spool-cherno-bambu-lab/?gad_source=1&amp;gad_campaignid=23369295043&amp;gbraid=0AAAABBeApTZEPbIRHor7bJZ92Gq7vT3lv&amp;gclid=CjwKCAjwxITRBhBYEiwA6mZm7bCe5kvsvoz_znE0dv8i7YoYQrUSTdOaCQ7RKckeGywr-XLrI4hECRoCo7MQAvD_BwE" TargetMode="External"/><Relationship Id="rId6" Type="http://schemas.openxmlformats.org/officeDocument/2006/relationships/hyperlink" Target="https://www.easycomposites.eu/22mm-woven-finish-carbon-fibre-tube" TargetMode="External"/><Relationship Id="rId5" Type="http://schemas.openxmlformats.org/officeDocument/2006/relationships/hyperlink" Target="https://www.easycomposites.eu/6mm-woven-finish-carbon-fibre-tube" TargetMode="External"/><Relationship Id="rId4" Type="http://schemas.openxmlformats.org/officeDocument/2006/relationships/hyperlink" Target="https://www.aliexpress.com/item/1005006797742158.html?spm=a2g0o.cart.0.0.730838dax88ROf&amp;mp=1&amp;pdp_npi=6%40dis%21EUR%21EUR+26.70%21EUR+23.23%21%21EUR+23.23%21%21%21%402103973d17862847051156158e10ad%2112000038337169331%21ct%21BG%21793291276%21%211%210%2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F099F-610B-4C2F-A80F-3888BDD56E8E}">
  <dimension ref="B2:D14"/>
  <sheetViews>
    <sheetView workbookViewId="0">
      <selection activeCell="C7" sqref="C7"/>
    </sheetView>
  </sheetViews>
  <sheetFormatPr defaultRowHeight="14.4" x14ac:dyDescent="0.3"/>
  <cols>
    <col min="4" max="4" width="33.33203125" bestFit="1" customWidth="1"/>
  </cols>
  <sheetData>
    <row r="2" spans="2:4" x14ac:dyDescent="0.3">
      <c r="B2" s="4" t="s">
        <v>3</v>
      </c>
      <c r="C2" s="4" t="s">
        <v>9</v>
      </c>
      <c r="D2" s="4" t="s">
        <v>17</v>
      </c>
    </row>
    <row r="3" spans="2:4" x14ac:dyDescent="0.3">
      <c r="B3" t="s">
        <v>4</v>
      </c>
      <c r="C3" t="s">
        <v>36</v>
      </c>
      <c r="D3" t="s">
        <v>24</v>
      </c>
    </row>
    <row r="4" spans="2:4" x14ac:dyDescent="0.3">
      <c r="B4" t="s">
        <v>6</v>
      </c>
      <c r="C4" t="s">
        <v>10</v>
      </c>
      <c r="D4" t="s">
        <v>18</v>
      </c>
    </row>
    <row r="5" spans="2:4" x14ac:dyDescent="0.3">
      <c r="B5" t="s">
        <v>5</v>
      </c>
      <c r="C5" t="s">
        <v>11</v>
      </c>
      <c r="D5" t="s">
        <v>19</v>
      </c>
    </row>
    <row r="6" spans="2:4" x14ac:dyDescent="0.3">
      <c r="B6" t="s">
        <v>7</v>
      </c>
      <c r="C6" t="s">
        <v>12</v>
      </c>
      <c r="D6" t="s">
        <v>25</v>
      </c>
    </row>
    <row r="7" spans="2:4" x14ac:dyDescent="0.3">
      <c r="B7" t="s">
        <v>125</v>
      </c>
      <c r="C7" t="s">
        <v>13</v>
      </c>
      <c r="D7" t="s">
        <v>26</v>
      </c>
    </row>
    <row r="8" spans="2:4" x14ac:dyDescent="0.3">
      <c r="D8" t="s">
        <v>27</v>
      </c>
    </row>
    <row r="9" spans="2:4" x14ac:dyDescent="0.3">
      <c r="D9" t="s">
        <v>28</v>
      </c>
    </row>
    <row r="10" spans="2:4" x14ac:dyDescent="0.3">
      <c r="D10" t="s">
        <v>29</v>
      </c>
    </row>
    <row r="11" spans="2:4" x14ac:dyDescent="0.3">
      <c r="D11" t="s">
        <v>30</v>
      </c>
    </row>
    <row r="12" spans="2:4" x14ac:dyDescent="0.3">
      <c r="D12" t="s">
        <v>31</v>
      </c>
    </row>
    <row r="13" spans="2:4" x14ac:dyDescent="0.3">
      <c r="D13" t="s">
        <v>20</v>
      </c>
    </row>
    <row r="14" spans="2:4" x14ac:dyDescent="0.3">
      <c r="D14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4346-BCBC-4D9C-B399-F93315446069}">
  <dimension ref="A1:N38"/>
  <sheetViews>
    <sheetView tabSelected="1" zoomScale="85" zoomScaleNormal="85" workbookViewId="0">
      <selection activeCell="C12" sqref="C12"/>
    </sheetView>
  </sheetViews>
  <sheetFormatPr defaultColWidth="8.88671875" defaultRowHeight="14.4" x14ac:dyDescent="0.3"/>
  <cols>
    <col min="1" max="1" width="3" style="1" bestFit="1" customWidth="1"/>
    <col min="2" max="2" width="37.6640625" style="7" customWidth="1"/>
    <col min="3" max="3" width="57.6640625" style="2" customWidth="1"/>
    <col min="4" max="4" width="37.6640625" style="1" bestFit="1" customWidth="1"/>
    <col min="5" max="7" width="8.88671875" style="1"/>
    <col min="8" max="8" width="5.109375" style="1" bestFit="1" customWidth="1"/>
    <col min="9" max="9" width="12.33203125" style="1" bestFit="1" customWidth="1"/>
    <col min="10" max="10" width="12.33203125" style="1" customWidth="1"/>
    <col min="11" max="11" width="9.44140625" style="1" bestFit="1" customWidth="1"/>
    <col min="12" max="12" width="8.88671875" style="1"/>
    <col min="13" max="13" width="48" style="17" customWidth="1"/>
    <col min="14" max="16384" width="8.88671875" style="2"/>
  </cols>
  <sheetData>
    <row r="1" spans="1:14" x14ac:dyDescent="0.3">
      <c r="A1" s="5" t="s">
        <v>23</v>
      </c>
      <c r="C1" s="6"/>
      <c r="M1" s="2"/>
    </row>
    <row r="2" spans="1:14" ht="27" customHeight="1" x14ac:dyDescent="0.3">
      <c r="A2" s="9" t="s">
        <v>0</v>
      </c>
      <c r="B2" s="10" t="s">
        <v>15</v>
      </c>
      <c r="C2" s="11" t="s">
        <v>16</v>
      </c>
      <c r="D2" s="12" t="s">
        <v>17</v>
      </c>
      <c r="E2" s="9" t="s">
        <v>35</v>
      </c>
      <c r="F2" s="12" t="s">
        <v>42</v>
      </c>
      <c r="G2" s="9" t="s">
        <v>2</v>
      </c>
      <c r="H2" s="9" t="s">
        <v>3</v>
      </c>
      <c r="I2" s="9" t="s">
        <v>8</v>
      </c>
      <c r="J2" s="9" t="s">
        <v>34</v>
      </c>
      <c r="K2" s="9" t="s">
        <v>22</v>
      </c>
      <c r="L2" s="9" t="s">
        <v>9</v>
      </c>
      <c r="M2" s="11" t="s">
        <v>14</v>
      </c>
    </row>
    <row r="3" spans="1:14" x14ac:dyDescent="0.3">
      <c r="A3" s="15">
        <f>IF(B3&lt;&gt;"",COUNTA($B$3:B3),"")</f>
        <v>1</v>
      </c>
      <c r="B3" s="14" t="s">
        <v>1</v>
      </c>
      <c r="C3" s="13" t="s">
        <v>32</v>
      </c>
      <c r="D3" s="15" t="s">
        <v>20</v>
      </c>
      <c r="E3" s="15"/>
      <c r="F3" s="15">
        <v>0</v>
      </c>
      <c r="G3" s="15">
        <v>1</v>
      </c>
      <c r="H3" s="15" t="s">
        <v>4</v>
      </c>
      <c r="I3" s="3"/>
      <c r="J3" s="15">
        <f>(G3*E3)+F3</f>
        <v>0</v>
      </c>
      <c r="K3" s="15" t="s">
        <v>33</v>
      </c>
      <c r="L3" s="26" t="s">
        <v>36</v>
      </c>
      <c r="M3" s="16"/>
    </row>
    <row r="4" spans="1:14" x14ac:dyDescent="0.3">
      <c r="A4" s="15">
        <f>IF(B4&lt;&gt;"",COUNTA($B$3:B4),"")</f>
        <v>2</v>
      </c>
      <c r="B4" s="14" t="s">
        <v>38</v>
      </c>
      <c r="C4" s="13" t="s">
        <v>45</v>
      </c>
      <c r="D4" s="15" t="s">
        <v>29</v>
      </c>
      <c r="E4" s="15">
        <v>43.2</v>
      </c>
      <c r="F4" s="15">
        <v>0</v>
      </c>
      <c r="G4" s="15">
        <v>1</v>
      </c>
      <c r="H4" s="15" t="s">
        <v>4</v>
      </c>
      <c r="I4" s="8" t="s">
        <v>43</v>
      </c>
      <c r="J4" s="15">
        <f>(G4*E4)+F4</f>
        <v>43.2</v>
      </c>
      <c r="K4" s="15" t="s">
        <v>44</v>
      </c>
      <c r="L4" s="26" t="s">
        <v>36</v>
      </c>
      <c r="M4" s="16" t="s">
        <v>46</v>
      </c>
    </row>
    <row r="5" spans="1:14" ht="28.8" x14ac:dyDescent="0.3">
      <c r="A5" s="15">
        <f>IF(B5&lt;&gt;"",COUNTA($B$3:B5),"")</f>
        <v>3</v>
      </c>
      <c r="B5" s="14" t="s">
        <v>122</v>
      </c>
      <c r="C5" s="13" t="s">
        <v>124</v>
      </c>
      <c r="D5" s="15" t="s">
        <v>24</v>
      </c>
      <c r="E5" s="15">
        <v>12.8</v>
      </c>
      <c r="F5" s="15">
        <v>5.16</v>
      </c>
      <c r="G5" s="15">
        <v>1</v>
      </c>
      <c r="H5" s="15" t="s">
        <v>125</v>
      </c>
      <c r="I5" s="8" t="s">
        <v>126</v>
      </c>
      <c r="J5" s="15">
        <f>(G5*E5)+F5</f>
        <v>17.96</v>
      </c>
      <c r="K5" s="15" t="s">
        <v>127</v>
      </c>
      <c r="L5" s="26" t="s">
        <v>10</v>
      </c>
      <c r="M5" s="19" t="s">
        <v>123</v>
      </c>
    </row>
    <row r="6" spans="1:14" ht="43.2" x14ac:dyDescent="0.3">
      <c r="A6" s="15">
        <f>IF(B6&lt;&gt;"",COUNTA($B$3:B6),"")</f>
        <v>4</v>
      </c>
      <c r="B6" s="14" t="s">
        <v>40</v>
      </c>
      <c r="C6" s="13" t="s">
        <v>132</v>
      </c>
      <c r="D6" s="15" t="s">
        <v>24</v>
      </c>
      <c r="E6" s="15">
        <v>23.23</v>
      </c>
      <c r="F6" s="15">
        <v>10.09</v>
      </c>
      <c r="G6" s="15">
        <v>1</v>
      </c>
      <c r="H6" s="15" t="s">
        <v>125</v>
      </c>
      <c r="I6" s="8" t="s">
        <v>129</v>
      </c>
      <c r="J6" s="15">
        <f>(G6*E6)+F6</f>
        <v>33.32</v>
      </c>
      <c r="K6" s="15" t="s">
        <v>130</v>
      </c>
      <c r="L6" s="26" t="s">
        <v>10</v>
      </c>
      <c r="M6" s="19" t="s">
        <v>131</v>
      </c>
    </row>
    <row r="7" spans="1:14" ht="28.8" x14ac:dyDescent="0.3">
      <c r="A7" s="15">
        <f>IF(B7&lt;&gt;"",COUNTA($B$3:B7),"")</f>
        <v>5</v>
      </c>
      <c r="B7" s="14" t="s">
        <v>37</v>
      </c>
      <c r="C7" s="13" t="s">
        <v>41</v>
      </c>
      <c r="D7" s="15" t="s">
        <v>24</v>
      </c>
      <c r="E7" s="15">
        <v>31.22</v>
      </c>
      <c r="F7" s="28">
        <v>18.75</v>
      </c>
      <c r="G7" s="15">
        <v>4</v>
      </c>
      <c r="H7" s="15" t="s">
        <v>4</v>
      </c>
      <c r="I7" s="8" t="s">
        <v>133</v>
      </c>
      <c r="J7" s="15">
        <f t="shared" ref="J7:J21" si="0">(G7*E7)+F7</f>
        <v>143.63</v>
      </c>
      <c r="K7" s="27" t="s">
        <v>135</v>
      </c>
      <c r="L7" s="26" t="s">
        <v>10</v>
      </c>
      <c r="M7" s="19" t="s">
        <v>128</v>
      </c>
    </row>
    <row r="8" spans="1:14" x14ac:dyDescent="0.3">
      <c r="A8" s="15">
        <f>IF(B8&lt;&gt;"",COUNTA($B$3:B8),"")</f>
        <v>6</v>
      </c>
      <c r="B8" s="14" t="s">
        <v>39</v>
      </c>
      <c r="C8" s="13" t="s">
        <v>41</v>
      </c>
      <c r="D8" s="15" t="s">
        <v>24</v>
      </c>
      <c r="E8" s="15">
        <v>12.83</v>
      </c>
      <c r="F8" s="29"/>
      <c r="G8" s="15">
        <v>2</v>
      </c>
      <c r="H8" s="15" t="s">
        <v>4</v>
      </c>
      <c r="I8" s="8" t="s">
        <v>134</v>
      </c>
      <c r="J8" s="15">
        <f t="shared" si="0"/>
        <v>25.66</v>
      </c>
      <c r="K8" s="27" t="s">
        <v>135</v>
      </c>
      <c r="L8" s="26" t="s">
        <v>10</v>
      </c>
      <c r="M8" s="16" t="s">
        <v>121</v>
      </c>
    </row>
    <row r="9" spans="1:14" ht="28.8" x14ac:dyDescent="0.3">
      <c r="A9" s="15">
        <f>IF(B9&lt;&gt;"",COUNTA($B$3:B9),"")</f>
        <v>7</v>
      </c>
      <c r="B9" s="14" t="s">
        <v>47</v>
      </c>
      <c r="C9" s="13" t="s">
        <v>49</v>
      </c>
      <c r="D9" s="15" t="s">
        <v>29</v>
      </c>
      <c r="E9" s="15">
        <v>30.43</v>
      </c>
      <c r="F9" s="15">
        <v>8.64</v>
      </c>
      <c r="G9" s="15">
        <v>2</v>
      </c>
      <c r="H9" s="15" t="s">
        <v>4</v>
      </c>
      <c r="I9" s="3" t="s">
        <v>119</v>
      </c>
      <c r="J9" s="15">
        <f t="shared" si="0"/>
        <v>69.5</v>
      </c>
      <c r="K9" s="15" t="s">
        <v>48</v>
      </c>
      <c r="L9" s="26" t="s">
        <v>10</v>
      </c>
      <c r="M9" s="19" t="s">
        <v>120</v>
      </c>
      <c r="N9" s="25" t="s">
        <v>118</v>
      </c>
    </row>
    <row r="10" spans="1:14" x14ac:dyDescent="0.3">
      <c r="A10" s="15">
        <f>IF(B10&lt;&gt;"",COUNTA($B$3:B10),"")</f>
        <v>8</v>
      </c>
      <c r="B10" s="20" t="s">
        <v>50</v>
      </c>
      <c r="C10" s="13" t="s">
        <v>50</v>
      </c>
      <c r="D10" s="15" t="s">
        <v>28</v>
      </c>
      <c r="E10" s="15"/>
      <c r="F10" s="15"/>
      <c r="G10" s="15">
        <v>1</v>
      </c>
      <c r="H10" s="15" t="s">
        <v>4</v>
      </c>
      <c r="I10" s="3"/>
      <c r="J10" s="15">
        <f t="shared" si="0"/>
        <v>0</v>
      </c>
      <c r="K10" s="15"/>
      <c r="L10" s="26" t="s">
        <v>36</v>
      </c>
      <c r="M10" s="16"/>
    </row>
    <row r="11" spans="1:14" x14ac:dyDescent="0.3">
      <c r="A11" s="15">
        <f>IF(B11&lt;&gt;"",COUNTA($B$3:B11),"")</f>
        <v>9</v>
      </c>
      <c r="B11" s="31" t="s">
        <v>57</v>
      </c>
      <c r="C11" s="13" t="s">
        <v>51</v>
      </c>
      <c r="D11" s="15" t="s">
        <v>19</v>
      </c>
      <c r="E11" s="15">
        <v>60.75</v>
      </c>
      <c r="F11" s="15">
        <v>0</v>
      </c>
      <c r="G11" s="15">
        <v>4</v>
      </c>
      <c r="H11" s="15" t="s">
        <v>4</v>
      </c>
      <c r="I11" s="3" t="s">
        <v>73</v>
      </c>
      <c r="J11" s="15">
        <f t="shared" si="0"/>
        <v>243</v>
      </c>
      <c r="K11" s="15" t="s">
        <v>107</v>
      </c>
      <c r="L11" s="26" t="s">
        <v>36</v>
      </c>
      <c r="M11" s="16"/>
    </row>
    <row r="12" spans="1:14" x14ac:dyDescent="0.3">
      <c r="A12" s="15">
        <f>IF(B12&lt;&gt;"",COUNTA($B$3:B12),"")</f>
        <v>10</v>
      </c>
      <c r="B12" s="14" t="s">
        <v>105</v>
      </c>
      <c r="C12" s="13" t="s">
        <v>103</v>
      </c>
      <c r="D12" s="15" t="s">
        <v>18</v>
      </c>
      <c r="E12" s="15">
        <v>16.45</v>
      </c>
      <c r="F12" s="15">
        <v>0</v>
      </c>
      <c r="G12" s="15">
        <v>2</v>
      </c>
      <c r="H12" s="15" t="s">
        <v>4</v>
      </c>
      <c r="I12" s="3" t="s">
        <v>104</v>
      </c>
      <c r="J12" s="15">
        <f t="shared" si="0"/>
        <v>32.9</v>
      </c>
      <c r="K12" s="15" t="s">
        <v>48</v>
      </c>
      <c r="L12" s="26" t="s">
        <v>36</v>
      </c>
      <c r="M12" s="16" t="s">
        <v>106</v>
      </c>
    </row>
    <row r="13" spans="1:14" x14ac:dyDescent="0.3">
      <c r="A13" s="15">
        <f>IF(B13&lt;&gt;"",COUNTA($B$3:B13),"")</f>
        <v>11</v>
      </c>
      <c r="B13" s="31" t="s">
        <v>56</v>
      </c>
      <c r="C13" s="13" t="s">
        <v>52</v>
      </c>
      <c r="D13" s="15" t="s">
        <v>19</v>
      </c>
      <c r="E13" s="15"/>
      <c r="F13" s="15"/>
      <c r="G13" s="15">
        <v>1</v>
      </c>
      <c r="H13" s="15" t="s">
        <v>4</v>
      </c>
      <c r="I13" s="3"/>
      <c r="J13" s="15">
        <f t="shared" si="0"/>
        <v>0</v>
      </c>
      <c r="K13" s="15"/>
      <c r="L13" s="26" t="s">
        <v>36</v>
      </c>
      <c r="M13" s="16"/>
    </row>
    <row r="14" spans="1:14" x14ac:dyDescent="0.3">
      <c r="A14" s="15">
        <f>IF(B14&lt;&gt;"",COUNTA($B$3:B14),"")</f>
        <v>12</v>
      </c>
      <c r="B14" s="13" t="s">
        <v>58</v>
      </c>
      <c r="C14" s="13" t="s">
        <v>59</v>
      </c>
      <c r="D14" s="15" t="s">
        <v>25</v>
      </c>
      <c r="E14" s="15"/>
      <c r="F14" s="15"/>
      <c r="G14" s="15">
        <v>1</v>
      </c>
      <c r="H14" s="15" t="s">
        <v>4</v>
      </c>
      <c r="I14" s="3"/>
      <c r="J14" s="15">
        <f t="shared" si="0"/>
        <v>0</v>
      </c>
      <c r="K14" s="15"/>
      <c r="L14" s="26" t="s">
        <v>36</v>
      </c>
      <c r="M14" s="16"/>
    </row>
    <row r="15" spans="1:14" x14ac:dyDescent="0.3">
      <c r="A15" s="15">
        <f>IF(B15&lt;&gt;"",COUNTA($B$3:B15),"")</f>
        <v>13</v>
      </c>
      <c r="B15" s="31" t="s">
        <v>53</v>
      </c>
      <c r="C15" s="13" t="s">
        <v>71</v>
      </c>
      <c r="D15" s="15" t="s">
        <v>18</v>
      </c>
      <c r="E15" s="15">
        <v>44.99</v>
      </c>
      <c r="F15" s="15">
        <v>19</v>
      </c>
      <c r="G15" s="15">
        <v>4</v>
      </c>
      <c r="H15" s="15" t="s">
        <v>4</v>
      </c>
      <c r="I15" s="3" t="s">
        <v>76</v>
      </c>
      <c r="J15" s="15">
        <f t="shared" si="0"/>
        <v>198.96</v>
      </c>
      <c r="K15" s="15" t="s">
        <v>102</v>
      </c>
      <c r="L15" s="26" t="s">
        <v>36</v>
      </c>
      <c r="M15" s="16"/>
    </row>
    <row r="16" spans="1:14" x14ac:dyDescent="0.3">
      <c r="A16" s="15">
        <f>IF(B16&lt;&gt;"",COUNTA($B$3:B16),"")</f>
        <v>14</v>
      </c>
      <c r="B16" s="31" t="s">
        <v>69</v>
      </c>
      <c r="C16" s="13" t="s">
        <v>70</v>
      </c>
      <c r="D16" s="15" t="s">
        <v>25</v>
      </c>
      <c r="E16" s="15">
        <v>49.95</v>
      </c>
      <c r="F16" s="15">
        <v>14.9</v>
      </c>
      <c r="G16" s="15">
        <v>1</v>
      </c>
      <c r="H16" s="15" t="s">
        <v>4</v>
      </c>
      <c r="I16" s="3" t="s">
        <v>74</v>
      </c>
      <c r="J16" s="15">
        <f t="shared" si="0"/>
        <v>64.850000000000009</v>
      </c>
      <c r="K16" s="15" t="s">
        <v>97</v>
      </c>
      <c r="L16" s="26" t="s">
        <v>36</v>
      </c>
      <c r="M16" s="16" t="s">
        <v>101</v>
      </c>
    </row>
    <row r="17" spans="1:13" x14ac:dyDescent="0.3">
      <c r="A17" s="15">
        <f>IF(B17&lt;&gt;"",COUNTA($B$3:B17),"")</f>
        <v>15</v>
      </c>
      <c r="B17" s="14" t="s">
        <v>54</v>
      </c>
      <c r="C17" s="13" t="s">
        <v>68</v>
      </c>
      <c r="D17" s="15" t="s">
        <v>25</v>
      </c>
      <c r="E17" s="15"/>
      <c r="F17" s="15"/>
      <c r="G17" s="15">
        <v>1</v>
      </c>
      <c r="H17" s="15" t="s">
        <v>4</v>
      </c>
      <c r="I17" s="3"/>
      <c r="J17" s="15">
        <f t="shared" si="0"/>
        <v>0</v>
      </c>
      <c r="K17" s="15"/>
      <c r="L17" s="26" t="s">
        <v>36</v>
      </c>
      <c r="M17" s="16"/>
    </row>
    <row r="18" spans="1:13" x14ac:dyDescent="0.3">
      <c r="A18" s="15">
        <f>IF(B18&lt;&gt;"",COUNTA($B$3:B18),"")</f>
        <v>16</v>
      </c>
      <c r="B18" s="31" t="s">
        <v>79</v>
      </c>
      <c r="C18" s="13" t="s">
        <v>60</v>
      </c>
      <c r="D18" s="15" t="s">
        <v>30</v>
      </c>
      <c r="E18" s="15">
        <v>13.1</v>
      </c>
      <c r="F18" s="15">
        <v>0</v>
      </c>
      <c r="G18" s="15">
        <v>1</v>
      </c>
      <c r="H18" s="15" t="s">
        <v>4</v>
      </c>
      <c r="I18" s="3" t="s">
        <v>78</v>
      </c>
      <c r="J18" s="15">
        <f t="shared" si="0"/>
        <v>13.1</v>
      </c>
      <c r="K18" s="15" t="s">
        <v>48</v>
      </c>
      <c r="L18" s="26" t="s">
        <v>36</v>
      </c>
      <c r="M18" s="16" t="s">
        <v>77</v>
      </c>
    </row>
    <row r="19" spans="1:13" x14ac:dyDescent="0.3">
      <c r="A19" s="15">
        <f>IF(B19&lt;&gt;"",COUNTA($B$3:B19),"")</f>
        <v>17</v>
      </c>
      <c r="B19" s="14" t="s">
        <v>81</v>
      </c>
      <c r="C19" s="13" t="s">
        <v>60</v>
      </c>
      <c r="D19" s="15" t="s">
        <v>30</v>
      </c>
      <c r="E19" s="15">
        <v>7.04</v>
      </c>
      <c r="F19" s="15">
        <v>0</v>
      </c>
      <c r="G19" s="15">
        <v>1</v>
      </c>
      <c r="H19" s="15" t="s">
        <v>4</v>
      </c>
      <c r="I19" s="3" t="s">
        <v>82</v>
      </c>
      <c r="J19" s="15">
        <f t="shared" si="0"/>
        <v>7.04</v>
      </c>
      <c r="K19" s="15" t="s">
        <v>48</v>
      </c>
      <c r="L19" s="26" t="s">
        <v>36</v>
      </c>
      <c r="M19" s="16" t="s">
        <v>80</v>
      </c>
    </row>
    <row r="20" spans="1:13" x14ac:dyDescent="0.3">
      <c r="A20" s="15">
        <f>IF(B20&lt;&gt;"",COUNTA($B$3:B20),"")</f>
        <v>18</v>
      </c>
      <c r="B20" s="14" t="s">
        <v>83</v>
      </c>
      <c r="C20" s="13" t="s">
        <v>90</v>
      </c>
      <c r="D20" s="15" t="s">
        <v>30</v>
      </c>
      <c r="E20" s="15">
        <v>14.81</v>
      </c>
      <c r="F20" s="15">
        <v>0</v>
      </c>
      <c r="G20" s="15">
        <v>1</v>
      </c>
      <c r="H20" s="15" t="s">
        <v>4</v>
      </c>
      <c r="I20" s="3" t="s">
        <v>87</v>
      </c>
      <c r="J20" s="15">
        <f t="shared" si="0"/>
        <v>14.81</v>
      </c>
      <c r="K20" s="15" t="s">
        <v>48</v>
      </c>
      <c r="L20" s="26" t="s">
        <v>36</v>
      </c>
      <c r="M20" s="16" t="s">
        <v>75</v>
      </c>
    </row>
    <row r="21" spans="1:13" x14ac:dyDescent="0.3">
      <c r="A21" s="15">
        <v>19</v>
      </c>
      <c r="B21" s="14" t="s">
        <v>91</v>
      </c>
      <c r="C21" s="13" t="s">
        <v>89</v>
      </c>
      <c r="D21" s="15" t="s">
        <v>30</v>
      </c>
      <c r="E21" s="15">
        <v>6.61</v>
      </c>
      <c r="F21" s="15">
        <v>0</v>
      </c>
      <c r="G21" s="15">
        <v>1</v>
      </c>
      <c r="H21" s="15" t="s">
        <v>4</v>
      </c>
      <c r="I21" s="3" t="s">
        <v>88</v>
      </c>
      <c r="J21" s="15">
        <f t="shared" si="0"/>
        <v>6.61</v>
      </c>
      <c r="K21" s="15" t="s">
        <v>48</v>
      </c>
      <c r="L21" s="26" t="s">
        <v>36</v>
      </c>
      <c r="M21" s="16" t="s">
        <v>75</v>
      </c>
    </row>
    <row r="22" spans="1:13" ht="12.75" customHeight="1" x14ac:dyDescent="0.3">
      <c r="A22" s="15">
        <v>19</v>
      </c>
      <c r="B22" s="7" t="s">
        <v>85</v>
      </c>
      <c r="C22" s="13" t="s">
        <v>86</v>
      </c>
      <c r="D22" s="15" t="s">
        <v>30</v>
      </c>
      <c r="E22" s="15">
        <v>8.66</v>
      </c>
      <c r="F22" s="15">
        <v>0</v>
      </c>
      <c r="G22" s="15">
        <v>1</v>
      </c>
      <c r="H22" s="15" t="s">
        <v>4</v>
      </c>
      <c r="I22" s="13" t="s">
        <v>84</v>
      </c>
      <c r="J22" s="15">
        <f t="shared" ref="J22:J27" si="1">(G22*E22)+F22</f>
        <v>8.66</v>
      </c>
      <c r="K22" s="15" t="s">
        <v>48</v>
      </c>
      <c r="L22" s="26" t="s">
        <v>36</v>
      </c>
      <c r="M22" s="16"/>
    </row>
    <row r="23" spans="1:13" x14ac:dyDescent="0.3">
      <c r="A23" s="15">
        <f>IF(B23&lt;&gt;"",COUNTA($B$3:B23),"")</f>
        <v>21</v>
      </c>
      <c r="B23" s="21" t="s">
        <v>61</v>
      </c>
      <c r="C23" s="13" t="s">
        <v>55</v>
      </c>
      <c r="D23" s="15" t="s">
        <v>30</v>
      </c>
      <c r="E23" s="15"/>
      <c r="F23" s="15"/>
      <c r="G23" s="15">
        <v>4</v>
      </c>
      <c r="H23" s="15" t="s">
        <v>4</v>
      </c>
      <c r="I23" s="3"/>
      <c r="J23" s="15">
        <f t="shared" si="1"/>
        <v>0</v>
      </c>
      <c r="K23" s="15"/>
      <c r="L23" s="26" t="s">
        <v>36</v>
      </c>
      <c r="M23" s="16"/>
    </row>
    <row r="24" spans="1:13" x14ac:dyDescent="0.3">
      <c r="A24" s="15">
        <f>IF(B24&lt;&gt;"",COUNTA($B$3:B24),"")</f>
        <v>22</v>
      </c>
      <c r="B24" s="30" t="s">
        <v>93</v>
      </c>
      <c r="C24" s="13" t="s">
        <v>62</v>
      </c>
      <c r="D24" s="15" t="s">
        <v>18</v>
      </c>
      <c r="E24" s="15">
        <v>170.89</v>
      </c>
      <c r="F24" s="15">
        <v>0</v>
      </c>
      <c r="G24" s="15">
        <v>1</v>
      </c>
      <c r="H24" s="15" t="s">
        <v>4</v>
      </c>
      <c r="I24" s="3" t="s">
        <v>92</v>
      </c>
      <c r="J24" s="15">
        <f t="shared" si="1"/>
        <v>170.89</v>
      </c>
      <c r="K24" s="15" t="s">
        <v>94</v>
      </c>
      <c r="L24" s="26" t="s">
        <v>36</v>
      </c>
      <c r="M24" s="16" t="s">
        <v>95</v>
      </c>
    </row>
    <row r="25" spans="1:13" x14ac:dyDescent="0.3">
      <c r="A25" s="15">
        <f>IF(B25&lt;&gt;"",COUNTA($B$3:B25),"")</f>
        <v>23</v>
      </c>
      <c r="B25" s="30" t="s">
        <v>66</v>
      </c>
      <c r="C25" s="13" t="s">
        <v>67</v>
      </c>
      <c r="D25" s="15" t="s">
        <v>19</v>
      </c>
      <c r="E25" s="15">
        <v>31.9</v>
      </c>
      <c r="F25" s="15">
        <v>0</v>
      </c>
      <c r="G25" s="15">
        <v>1</v>
      </c>
      <c r="H25" s="15" t="s">
        <v>4</v>
      </c>
      <c r="I25" s="3" t="s">
        <v>96</v>
      </c>
      <c r="J25" s="15">
        <f t="shared" si="1"/>
        <v>31.9</v>
      </c>
      <c r="K25" s="15"/>
      <c r="L25" s="26" t="s">
        <v>36</v>
      </c>
      <c r="M25" s="16" t="s">
        <v>100</v>
      </c>
    </row>
    <row r="26" spans="1:13" x14ac:dyDescent="0.3">
      <c r="A26" s="15">
        <f>IF(B26&lt;&gt;"",COUNTA($B$3:B26),"")</f>
        <v>24</v>
      </c>
      <c r="B26" s="30" t="s">
        <v>63</v>
      </c>
      <c r="C26" s="13" t="s">
        <v>64</v>
      </c>
      <c r="D26" s="15" t="s">
        <v>28</v>
      </c>
      <c r="E26" s="15">
        <v>55.41</v>
      </c>
      <c r="F26" s="15">
        <v>0</v>
      </c>
      <c r="G26" s="15">
        <v>1</v>
      </c>
      <c r="H26" s="15" t="s">
        <v>4</v>
      </c>
      <c r="I26" s="3" t="s">
        <v>98</v>
      </c>
      <c r="J26" s="15">
        <f t="shared" si="1"/>
        <v>55.41</v>
      </c>
      <c r="K26" s="15" t="s">
        <v>97</v>
      </c>
      <c r="L26" s="26" t="s">
        <v>36</v>
      </c>
      <c r="M26" s="16" t="s">
        <v>99</v>
      </c>
    </row>
    <row r="27" spans="1:13" x14ac:dyDescent="0.3">
      <c r="A27" s="15">
        <f>IF(B27&lt;&gt;"",COUNTA($B$3:B27),"")</f>
        <v>25</v>
      </c>
      <c r="B27" s="13" t="s">
        <v>65</v>
      </c>
      <c r="C27" s="13" t="s">
        <v>72</v>
      </c>
      <c r="D27" s="15" t="s">
        <v>25</v>
      </c>
      <c r="E27" s="15"/>
      <c r="F27" s="15"/>
      <c r="G27" s="15">
        <v>1</v>
      </c>
      <c r="H27" s="15" t="s">
        <v>4</v>
      </c>
      <c r="I27" s="3"/>
      <c r="J27" s="15">
        <f t="shared" si="1"/>
        <v>0</v>
      </c>
      <c r="K27" s="15"/>
      <c r="L27" s="26" t="s">
        <v>36</v>
      </c>
      <c r="M27" s="16"/>
    </row>
    <row r="28" spans="1:13" x14ac:dyDescent="0.3">
      <c r="A28" s="15">
        <f>IF(B28&lt;&gt;"",COUNTA($B$3:B28),"")</f>
        <v>26</v>
      </c>
      <c r="B28" s="22" t="s">
        <v>113</v>
      </c>
      <c r="C28" s="22" t="s">
        <v>108</v>
      </c>
      <c r="D28" s="15" t="s">
        <v>25</v>
      </c>
      <c r="E28" s="24">
        <v>6.99</v>
      </c>
      <c r="F28" s="15"/>
      <c r="G28" s="15">
        <v>4</v>
      </c>
      <c r="H28" s="15" t="s">
        <v>4</v>
      </c>
      <c r="I28" s="23" t="s">
        <v>111</v>
      </c>
      <c r="J28" s="15">
        <f t="shared" ref="J28" si="2">(G28*E28)+F28</f>
        <v>27.96</v>
      </c>
      <c r="K28" s="15"/>
      <c r="L28" s="26" t="s">
        <v>36</v>
      </c>
      <c r="M28" s="16"/>
    </row>
    <row r="29" spans="1:13" x14ac:dyDescent="0.3">
      <c r="A29" s="15">
        <f>IF(B29&lt;&gt;"",COUNTA($B$3:B29),"")</f>
        <v>27</v>
      </c>
      <c r="B29" s="22" t="s">
        <v>112</v>
      </c>
      <c r="C29" s="22" t="s">
        <v>109</v>
      </c>
      <c r="D29" s="15" t="s">
        <v>25</v>
      </c>
      <c r="E29" s="15">
        <v>7.19</v>
      </c>
      <c r="F29" s="15"/>
      <c r="G29" s="15">
        <v>2</v>
      </c>
      <c r="H29" s="15" t="s">
        <v>4</v>
      </c>
      <c r="I29" s="23" t="s">
        <v>110</v>
      </c>
      <c r="J29" s="15">
        <f t="shared" ref="J29" si="3">(G29*E29)+F29</f>
        <v>14.38</v>
      </c>
      <c r="K29" s="15"/>
      <c r="L29" s="26" t="s">
        <v>36</v>
      </c>
      <c r="M29" s="16"/>
    </row>
    <row r="30" spans="1:13" x14ac:dyDescent="0.3">
      <c r="A30" s="15">
        <f>IF(B30&lt;&gt;"",COUNTA($B$3:B30),"")</f>
        <v>28</v>
      </c>
      <c r="B30" s="22" t="s">
        <v>114</v>
      </c>
      <c r="C30" s="22" t="s">
        <v>109</v>
      </c>
      <c r="D30" s="15" t="s">
        <v>25</v>
      </c>
      <c r="E30" s="15">
        <v>7.19</v>
      </c>
      <c r="F30" s="15"/>
      <c r="G30" s="15">
        <v>2</v>
      </c>
      <c r="H30" s="15" t="s">
        <v>4</v>
      </c>
      <c r="I30" s="23" t="s">
        <v>110</v>
      </c>
      <c r="J30" s="15">
        <f t="shared" ref="J30" si="4">(G30*E30)+F30</f>
        <v>14.38</v>
      </c>
      <c r="K30" s="15"/>
      <c r="L30" s="26" t="s">
        <v>36</v>
      </c>
      <c r="M30" s="16"/>
    </row>
    <row r="31" spans="1:13" x14ac:dyDescent="0.3">
      <c r="A31" s="15">
        <f>IF(B31&lt;&gt;"",COUNTA($B$3:B31),"")</f>
        <v>29</v>
      </c>
      <c r="B31" s="22" t="s">
        <v>116</v>
      </c>
      <c r="C31" s="22" t="s">
        <v>117</v>
      </c>
      <c r="D31" s="15" t="s">
        <v>25</v>
      </c>
      <c r="E31" s="15">
        <v>4.8899999999999997</v>
      </c>
      <c r="F31" s="15"/>
      <c r="G31" s="15">
        <v>1</v>
      </c>
      <c r="H31" s="15" t="s">
        <v>4</v>
      </c>
      <c r="I31" s="23" t="s">
        <v>115</v>
      </c>
      <c r="J31" s="15">
        <f t="shared" ref="J31" si="5">(G31*E31)+F31</f>
        <v>4.8899999999999997</v>
      </c>
      <c r="K31" s="15"/>
      <c r="L31" s="26" t="s">
        <v>36</v>
      </c>
      <c r="M31" s="16"/>
    </row>
    <row r="32" spans="1:13" x14ac:dyDescent="0.3">
      <c r="L32" s="26"/>
    </row>
    <row r="33" spans="12:12" x14ac:dyDescent="0.3">
      <c r="L33" s="26"/>
    </row>
    <row r="34" spans="12:12" x14ac:dyDescent="0.3">
      <c r="L34" s="26"/>
    </row>
    <row r="35" spans="12:12" x14ac:dyDescent="0.3">
      <c r="L35" s="26"/>
    </row>
    <row r="36" spans="12:12" x14ac:dyDescent="0.3">
      <c r="L36" s="26"/>
    </row>
    <row r="37" spans="12:12" x14ac:dyDescent="0.3">
      <c r="L37" s="26"/>
    </row>
    <row r="38" spans="12:12" x14ac:dyDescent="0.3">
      <c r="L38" s="26"/>
    </row>
  </sheetData>
  <mergeCells count="1">
    <mergeCell ref="F7:F8"/>
  </mergeCells>
  <phoneticPr fontId="6" type="noConversion"/>
  <conditionalFormatting sqref="L3:L6 L10:L38">
    <cfRule type="containsText" dxfId="5" priority="1" operator="containsText" text="pending">
      <formula>NOT(ISERROR(SEARCH("pending",L3)))</formula>
    </cfRule>
    <cfRule type="expression" priority="7">
      <formula>$B2="approved"</formula>
    </cfRule>
  </conditionalFormatting>
  <conditionalFormatting sqref="L3:L38">
    <cfRule type="containsText" dxfId="4" priority="3" operator="containsText" text="approved">
      <formula>NOT(ISERROR(SEARCH("approved",L3)))</formula>
    </cfRule>
    <cfRule type="containsText" dxfId="3" priority="4" operator="containsText" text="ordered">
      <formula>NOT(ISERROR(SEARCH("ordered",L3)))</formula>
    </cfRule>
    <cfRule type="containsText" dxfId="2" priority="5" operator="containsText" text="rejected">
      <formula>NOT(ISERROR(SEARCH("rejected",L3)))</formula>
    </cfRule>
    <cfRule type="containsText" dxfId="1" priority="6" operator="containsText" text="received">
      <formula>NOT(ISERROR(SEARCH("received",L3)))</formula>
    </cfRule>
  </conditionalFormatting>
  <conditionalFormatting sqref="L4:L38">
    <cfRule type="expression" priority="9">
      <formula>#REF!="approved"</formula>
    </cfRule>
  </conditionalFormatting>
  <conditionalFormatting sqref="L6">
    <cfRule type="expression" priority="19">
      <formula>$B7="approved"</formula>
    </cfRule>
  </conditionalFormatting>
  <conditionalFormatting sqref="L6:L9">
    <cfRule type="containsText" dxfId="0" priority="12" operator="containsText" text="pending">
      <formula>NOT(ISERROR(SEARCH("pending",L6)))</formula>
    </cfRule>
  </conditionalFormatting>
  <conditionalFormatting sqref="L7">
    <cfRule type="expression" priority="17">
      <formula>$B5="approved"</formula>
    </cfRule>
  </conditionalFormatting>
  <hyperlinks>
    <hyperlink ref="I4" r:id="rId1" display="https://3dprintx.bg/magazin/pa6-cf-with-spool-cherno-bambu-lab/?gad_source=1&amp;gad_campaignid=23369295043&amp;gbraid=0AAAABBeApTZEPbIRHor7bJZ92Gq7vT3lv&amp;gclid=CjwKCAjwxITRBhBYEiwA6mZm7bCe5kvsvoz_znE0dv8i7YoYQrUSTdOaCQ7RKckeGywr-XLrI4hECRoCo7MQAvD_BwE" xr:uid="{45F219EB-CA0E-46B2-B5AC-321500547349}"/>
    <hyperlink ref="N9" r:id="rId2" xr:uid="{768681FA-3135-41DB-AF87-7EDFDCB42E31}"/>
    <hyperlink ref="I5" r:id="rId3" xr:uid="{29AE6930-3CFD-49FA-8C77-A431B4331D49}"/>
    <hyperlink ref="I6" r:id="rId4" xr:uid="{3002E511-E2F5-4C78-B094-E6DD7CF3B671}"/>
    <hyperlink ref="I7" r:id="rId5" xr:uid="{46C8B073-4590-4C63-B6E5-2A03FB1E94E6}"/>
    <hyperlink ref="I8" r:id="rId6" xr:uid="{7085C41A-4F68-4A70-A26C-EBBC546A59EE}"/>
  </hyperlinks>
  <pageMargins left="0.7" right="0.7" top="0.75" bottom="0.75" header="0.3" footer="0.3"/>
  <pageSetup paperSize="9" orientation="portrait" r:id="rId7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3E04927-DBCA-4F6B-BC5C-6D6442D07CEA}">
          <x14:formula1>
            <xm:f>Background_info!$D$3:$D$30</xm:f>
          </x14:formula1>
          <xm:sqref>D3:D31</xm:sqref>
        </x14:dataValidation>
        <x14:dataValidation type="list" allowBlank="1" showInputMessage="1" showErrorMessage="1" xr:uid="{0CED9412-699B-4C7D-965B-005ACFAE9885}">
          <x14:formula1>
            <xm:f>Background_info!$C$3:$C$15</xm:f>
          </x14:formula1>
          <xm:sqref>L3:L38</xm:sqref>
        </x14:dataValidation>
        <x14:dataValidation type="list" allowBlank="1" showInputMessage="1" showErrorMessage="1" xr:uid="{4580CAC9-FAF7-403B-A1D9-84CB43CB97A9}">
          <x14:formula1>
            <xm:f>Background_info!$B$3:$B$7</xm:f>
          </x14:formula1>
          <xm:sqref>H3:H31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602BA-A80C-4BEA-8ECF-F81C395286C3}">
  <dimension ref="A1"/>
  <sheetViews>
    <sheetView workbookViewId="0"/>
  </sheetViews>
  <sheetFormatPr defaultRowHeight="14.4" x14ac:dyDescent="0.3"/>
  <sheetData>
    <row r="1" spans="1:1" x14ac:dyDescent="0.3">
      <c r="A1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Background_info</vt:lpstr>
      <vt:lpstr>Main_Table</vt:lpstr>
      <vt:lpstr>Totals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Nikolov, Aleksandar</cp:lastModifiedBy>
  <dcterms:created xsi:type="dcterms:W3CDTF">2026-06-04T17:17:53Z</dcterms:created>
  <dcterms:modified xsi:type="dcterms:W3CDTF">2026-08-25T18:13:18Z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2026-06-04T18:16:49Z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64e217ca-fdbf-4c7a-8c53-c0ca3c81a4f5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