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097411\Documents\GitHub\ORGOfly-CAD-Model\P01\P01_06_Procurement\"/>
    </mc:Choice>
  </mc:AlternateContent>
  <xr:revisionPtr revIDLastSave="0" documentId="13_ncr:1_{11B6D685-B33B-4B8E-A691-8CE490673242}" xr6:coauthVersionLast="47" xr6:coauthVersionMax="47" xr10:uidLastSave="{00000000-0000-0000-0000-000000000000}"/>
  <bookViews>
    <workbookView xWindow="-108" yWindow="-108" windowWidth="23256" windowHeight="13896" firstSheet="1" activeTab="1" xr2:uid="{EEE73C29-3BDB-49EB-9C57-2FAD514C20AA}"/>
  </bookViews>
  <sheets>
    <sheet name="Background_info" sheetId="2" state="hidden" r:id="rId1"/>
    <sheet name="Main_Table" sheetId="1" r:id="rId2"/>
    <sheet name="Totals" sheetId="3" r:id="rId3"/>
  </sheets>
  <definedNames>
    <definedName name="_xlnm._FilterDatabase" localSheetId="1" hidden="1">Main_Table!$A$2:$N$34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6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J12" i="1" l="1"/>
  <c r="B1" i="3" a="1"/>
  <c r="B1" i="3" s="1"/>
  <c r="A3" i="3" a="1"/>
  <c r="A3" i="3" s="1"/>
  <c r="B3" i="3" s="1"/>
  <c r="J13" i="1"/>
  <c r="J34" i="1"/>
  <c r="J33" i="1"/>
  <c r="J32" i="1"/>
  <c r="J31" i="1"/>
  <c r="J14" i="1"/>
  <c r="J24" i="1"/>
  <c r="J25" i="1"/>
  <c r="J27" i="1"/>
  <c r="J28" i="1"/>
  <c r="J29" i="1"/>
  <c r="J30" i="1"/>
  <c r="A3" i="1"/>
  <c r="J4" i="1"/>
  <c r="J3" i="1"/>
  <c r="J7" i="1"/>
  <c r="J6" i="1"/>
  <c r="J8" i="1"/>
  <c r="J9" i="1"/>
  <c r="J10" i="1"/>
  <c r="J11" i="1"/>
  <c r="J15" i="1"/>
  <c r="J16" i="1"/>
  <c r="J17" i="1"/>
  <c r="J18" i="1"/>
  <c r="J19" i="1"/>
  <c r="J20" i="1"/>
  <c r="J21" i="1"/>
  <c r="J22" i="1"/>
  <c r="J23" i="1"/>
  <c r="J5" i="1"/>
  <c r="D11" i="3" l="1"/>
  <c r="E13" i="3"/>
  <c r="C13" i="3"/>
  <c r="B9" i="3"/>
  <c r="B4" i="3"/>
  <c r="D13" i="3"/>
  <c r="C3" i="3"/>
  <c r="D3" i="3"/>
  <c r="F5" i="3"/>
  <c r="F12" i="3"/>
  <c r="E3" i="3"/>
  <c r="E12" i="3"/>
  <c r="C10" i="3"/>
  <c r="F7" i="3"/>
  <c r="D5" i="3"/>
  <c r="F13" i="3"/>
  <c r="E6" i="3"/>
  <c r="D6" i="3"/>
  <c r="E8" i="3"/>
  <c r="B6" i="3"/>
  <c r="E10" i="3"/>
  <c r="D10" i="3"/>
  <c r="F14" i="3"/>
  <c r="D12" i="3"/>
  <c r="B10" i="3"/>
  <c r="E7" i="3"/>
  <c r="C5" i="3"/>
  <c r="C4" i="3"/>
  <c r="F8" i="3"/>
  <c r="B11" i="3"/>
  <c r="F10" i="3"/>
  <c r="F3" i="3"/>
  <c r="B8" i="3"/>
  <c r="E14" i="3"/>
  <c r="C12" i="3"/>
  <c r="F9" i="3"/>
  <c r="D7" i="3"/>
  <c r="B5" i="3"/>
  <c r="D8" i="3"/>
  <c r="B13" i="3"/>
  <c r="C8" i="3"/>
  <c r="E5" i="3"/>
  <c r="D14" i="3"/>
  <c r="B12" i="3"/>
  <c r="E9" i="3"/>
  <c r="C7" i="3"/>
  <c r="F4" i="3"/>
  <c r="C11" i="3"/>
  <c r="C6" i="3"/>
  <c r="C14" i="3"/>
  <c r="F11" i="3"/>
  <c r="D9" i="3"/>
  <c r="B7" i="3"/>
  <c r="E4" i="3"/>
  <c r="B14" i="3"/>
  <c r="E11" i="3"/>
  <c r="C9" i="3"/>
  <c r="F6" i="3"/>
  <c r="D4" i="3"/>
  <c r="B2" i="3" l="1"/>
  <c r="F2" i="3"/>
  <c r="D2" i="3"/>
  <c r="E2" i="3"/>
  <c r="C2" i="3"/>
  <c r="G2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<sst xmlns="http://schemas.openxmlformats.org/spreadsheetml/2006/main" count="275" uniqueCount="155">
  <si>
    <t>#</t>
  </si>
  <si>
    <t>Domain</t>
  </si>
  <si>
    <t>Quantity</t>
  </si>
  <si>
    <t>Unit</t>
  </si>
  <si>
    <t>pcs</t>
  </si>
  <si>
    <t>kg</t>
  </si>
  <si>
    <t>meters</t>
  </si>
  <si>
    <t>sheets</t>
  </si>
  <si>
    <t>Supplier/Link</t>
  </si>
  <si>
    <t>Status</t>
  </si>
  <si>
    <t>approved</t>
  </si>
  <si>
    <t>ordered</t>
  </si>
  <si>
    <t>received</t>
  </si>
  <si>
    <t>rejected</t>
  </si>
  <si>
    <t>Notes</t>
  </si>
  <si>
    <t>Item Name</t>
  </si>
  <si>
    <t>Item Description</t>
  </si>
  <si>
    <t>Subsystem</t>
  </si>
  <si>
    <t>Propulsion</t>
  </si>
  <si>
    <t>Power</t>
  </si>
  <si>
    <t>Business</t>
  </si>
  <si>
    <t>Other</t>
  </si>
  <si>
    <t>Lead Time</t>
  </si>
  <si>
    <t>Please add components here only after selection process has been finished!</t>
  </si>
  <si>
    <t>Airframe and Structures</t>
  </si>
  <si>
    <t>Flight Control and Avionics</t>
  </si>
  <si>
    <t>Control Surfaces and Mechanisms</t>
  </si>
  <si>
    <t>Payload and Medical Transport System</t>
  </si>
  <si>
    <t>Communications and Ground Equipment</t>
  </si>
  <si>
    <t>Manufacturing and prototyping</t>
  </si>
  <si>
    <t>Fasteners and Consumables</t>
  </si>
  <si>
    <t>Testing and Safety Equipment</t>
  </si>
  <si>
    <t xml:space="preserve">OrgoFly Domain </t>
  </si>
  <si>
    <t>n/a</t>
  </si>
  <si>
    <t>Total price (€)</t>
  </si>
  <si>
    <t>Price (€)</t>
  </si>
  <si>
    <t>pending</t>
  </si>
  <si>
    <t>CF Tube 22x20mm</t>
  </si>
  <si>
    <t>PA6+CF filament</t>
  </si>
  <si>
    <t>CF Tube 6x4mm</t>
  </si>
  <si>
    <t>CF Tube 20x18mm</t>
  </si>
  <si>
    <t>x1000mm</t>
  </si>
  <si>
    <t>Delivery price (€)</t>
  </si>
  <si>
    <t>https://www.aliexpress.com/item/1005010143310151.html?spm=a2g0o.productlist.main.3.26867c47eNIIX8&amp;algo_pvid=a0a1c9bc-aaa9-43aa-905d-66f8a77d08a7&amp;algo_exp_id=a0a1c9bc-aaa9-43aa-905d-66f8a77d08a7-2&amp;pdp_ext_f=%7B%22order%22%3A%22230%22%2C%22eval%22%3A%221%22%2C%22fromPage%22%3A%22search%22%7D&amp;pdp_npi=6%40dis%21EUR%2138.62%2138.44%21%21%2143.80%2143.60%21%40212e508f17817230884093688e2c48%2112000051359404635%21sea%21BG%21892667464%21ABX%211%210%21n_tag%3A-29910%3Bd%3Ab8d743bc%3Bm03_new_user%3A-29895%3BpisId%3A5000000204855994&amp;curPageLogUid=HADK0WdyQEtP&amp;utparam-url=scene%3Asearch%7Cquery_from%3A%7Cx_object_id%3A1005010143310151%7C_p_origin_prod%3A</t>
  </si>
  <si>
    <t>6-12days</t>
  </si>
  <si>
    <t>500g</t>
  </si>
  <si>
    <t>only for structural parts</t>
  </si>
  <si>
    <t>PLA lightweight filament</t>
  </si>
  <si>
    <t>6-10days</t>
  </si>
  <si>
    <t>1kg - White!</t>
  </si>
  <si>
    <t>Antenna</t>
  </si>
  <si>
    <t>Multiple-cell battery</t>
  </si>
  <si>
    <t>Unpolarized capacitor</t>
  </si>
  <si>
    <t>SQESC_12100</t>
  </si>
  <si>
    <t>HGLRC_M100_Pro</t>
  </si>
  <si>
    <t>370 uF capacitor</t>
  </si>
  <si>
    <t>Turnigy_HD_6S_5Ah5_60C_LiPo</t>
  </si>
  <si>
    <t>Foxeer Mini Cat 4 1200TVL</t>
  </si>
  <si>
    <t>FPV Camera</t>
  </si>
  <si>
    <t>Power connector</t>
  </si>
  <si>
    <t>Motor</t>
  </si>
  <si>
    <t>TBS Crossfire Diversity Nano Rx</t>
  </si>
  <si>
    <t>ULTRA 25-1600mW 4.9-5.8G 64CH</t>
  </si>
  <si>
    <t>MATEKSYS XCLAS PDB FCHUB-12S</t>
  </si>
  <si>
    <t>Power Distribution Board</t>
  </si>
  <si>
    <t>GPS with Compass</t>
  </si>
  <si>
    <t>MATEKSYS_F405-HDTE  12 PWM</t>
  </si>
  <si>
    <t>Flight Controller</t>
  </si>
  <si>
    <t>Electronic Speed Controller</t>
  </si>
  <si>
    <t>Video Transmitter</t>
  </si>
  <si>
    <t>https://hobbyking.com/en_us/turnigy-heavy-duty-5500mah-6s-60c-lipo-pack-w-xt90.html</t>
  </si>
  <si>
    <t>Sold in bulk</t>
  </si>
  <si>
    <t>Pack of 20 XT90 Battery Connectors (10 pairs)</t>
  </si>
  <si>
    <t>Sold in bulk. 12 pieces needed</t>
  </si>
  <si>
    <t>15 Pairs 4 mm Gold-Plated Banana Plugs</t>
  </si>
  <si>
    <t>https://www.amazon.de/-/en/GTIWUNG-Gold-Plated-Banana-Electronic-Female/dp/B07VYSN74H/ref=sr_1_5?crid=APMI9MQX3WE2&amp;dib=eyJ2IjoiMSJ9.-cW-SSoe0GSHrNsLkRt9yngk1JanAkJizVf6_lDHjiFuGASGCZd7VJNFVoJx-DFycKud1bujMbVo7p6QFpPsBRoptt1FQBcFitZbMs7Wi9iGZe0pBWioIC_eaJFCviEzcVsFjMkbp3fSj3gJFmaIx2il0PsamgHdz0Hp0sgP9EZoiXo-cioUggGOjWz-EwEp8U6GbriLS9HrPPwzxdnIGnH2M2NfmndBUOR-gZ0h49k.afv3-GqfWZoQ04j4mk4hX-pGTr-_Vg53wNQGQkU68Ak&amp;dib_tag=se&amp;keywords=banana%2Bconnector%2Bgold%2Bplated%2B4mm&amp;qid=1781938148&amp;sprefix=banana%2Bconnector%2Bgold%2Bplated%2B4mm%2Bmale%2Caps%2C218&amp;sr=8-5&amp;th=1</t>
  </si>
  <si>
    <t>1.0 mm JST-SH connector kit</t>
  </si>
  <si>
    <t>https://www.amazon.de/-/en/YIXISI-Connector-Crimping-Compatible-Spektrum/dp/B0FLJYYJ1X/ref=sr_1_8?crid=DLFPTNQRJFMF&amp;dib=eyJ2IjoiMSJ9.Sm28qFOHTngE30hm3VP4eOtjd2abZ3sSyEzBdkn7et_CI4C9plCjc1qsvkl8lH_8bQCvZsXIa04zOgEY-2HZ17AyaGqpKwpIzL2xGxwFWkaERG3BJAmdYSOKF1NpQ50KihaOReXLXQi2lqu-u61LOHlPVKw8A0woZycIHPRDxeKmOz7RL9crjY2D4zP4MuTiKZQPgm7EvP8EnvKHzt0YLPBAm1MTGCP3doOh3RWHrwKj--N7SZND45GY4nPUJ_fmxErMJiYA-BwxBSgXgHscSlhZjoYmtlpUNz0LU3-Bi4w.UoiseN0r5MfYwKxD2vLpG4fWajG33ZKwsieXvEsn10I&amp;dib_tag=se&amp;keywords=jr%2Bconnector%2Bkit&amp;qid=1781938836&amp;sprefix=jr%2Bconnector%2Bkit%2Caps%2C141&amp;sr=8-8&amp;th=1</t>
  </si>
  <si>
    <t>JR connector kit</t>
  </si>
  <si>
    <t>JR connectors with precrimped cables</t>
  </si>
  <si>
    <t>https://www.amazon.com/Teansic-Connector-Pre-Crimped-Housing-Controller/dp/B0D5X6BY5Z/ref=sr_1_2?crid=1896QHIE821LQ&amp;dib=eyJ2IjoiMSJ9.ixsppeKruG_XOF9tIJPaQYS2BJ2s-wK4DBsLPosYOhRbNsfBj-nqAuzMLBe8INOt-XooiS1gojMahW_GhAV7fr7GbnHj1HfpiH5IPwmbZF8Pw4EI42CalwSTYxxvtG5GhZbeLsA6w3TxipLHqpodb7iyiPWM0bbvRu1dTRk6f3jTsz2nE0RYogekaJIrToinul51OcIdqhxLOAfyEfS8040fUr3R2919DFsRkcQB3s4.br5s-x0KJlXyK5jsDe49zrrxhG_SGewyV5dbeuW4Zok&amp;dib_tag=se&amp;keywords=jst+sh+kit&amp;qid=1781939623&amp;sprefix=jst+shkit%2Caps%2C220&amp;sr=8-2</t>
  </si>
  <si>
    <t>https://www.amazon.com/Connector-Housing-Adapter-Terminal-Connectors/dp/B0BZDCGJ32/ref=sr_1_13?crid=2ED5KSS7XQC2D&amp;dib=eyJ2IjoiMSJ9.VOLkIGEbGRieFamwLT-4DCszryrNfC6ESybvoywH1HTUlRSmF6Xw555wg0XZvLKpgNk2rBp9Uz-XEzjeoI9935hHBDaIoC_CSwZNJljxvSLBGSC6Z5si9t574dTUKflMiWcTet04ozSCeFMVpXOxmqipl4E60q2qZFv-ydiwk8-p0LXksomyS8gttXuIek7V0diGfXHTJwm1f8Zo71icFVG5zE9JuzrdJupKk-_B79kM4dfJTBpBpiXnrLgZCubX08EpxR9sNciXdeVGCwuARtn7jd1BMhy_J7-JDj8fBmA.zhFQpJbX4JuSwfEaliH3KmhtJslswUjDf1OgxGaDn6g&amp;dib_tag=se&amp;keywords=jst+kit&amp;qid=1781939686&amp;sprefix=jst+kit%2Caps%2C243&amp;sr=8-13</t>
  </si>
  <si>
    <t>JST XH connectors</t>
  </si>
  <si>
    <t>JST SH connectors with precrimped cables</t>
  </si>
  <si>
    <t>2.54 mm JST-XH connector kit</t>
  </si>
  <si>
    <t>https://www.aliexpress.com/item/1005003975746499.html?gatewayAdapt=deu2glo</t>
  </si>
  <si>
    <t>Brotherhobby Avenger 3120 500KV 4pcs</t>
  </si>
  <si>
    <t>7-14 days</t>
  </si>
  <si>
    <t>Sold in bulk. 4 500KV motors</t>
  </si>
  <si>
    <t>4-10 days</t>
  </si>
  <si>
    <t>Order from the same place as RX and PDB for cheaper delivery</t>
  </si>
  <si>
    <t>6-10 days</t>
  </si>
  <si>
    <t>Propellers</t>
  </si>
  <si>
    <t>https://www.aliexpress.com/item/1005009091133732.html</t>
  </si>
  <si>
    <t>HQ 10 x 5 x 3 2 pairs</t>
  </si>
  <si>
    <t>The ones we have test data for. Can change later</t>
  </si>
  <si>
    <t>4-7 days</t>
  </si>
  <si>
    <t>Servo to Shaft Coupler</t>
  </si>
  <si>
    <t>Shaft</t>
  </si>
  <si>
    <t>https://de.aliexpress.com/item/1005002809828245.html?spm=a2g0o.productlist.main.3.748eXfSsXfSs7Y&amp;algo_pvid=bd082ef1-520b-41ef-a3e1-2187c186d930&amp;algo_exp_id=bd082ef1-520b-41ef-a3e1-2187c186d930-2&amp;pdp_ext_f=%7B%22order%22%3A%2218%22%2C%22eval%22%3A%221%22%2C%22fromPage%22%3A%22search%22%7D&amp;pdp_npi=6%40dis%21EUR%217.65%217.19%21%21%218.55%218.04%21%400b15834e17843741284825723e0efc%2112000022295201218%21sea%21DE%210%21ABX%211%210%21n_tag%3A-29910%3Bd%3A23220bf0%3Bm03_new_user%3A-29895&amp;curPageLogUid=bsg7dXE6wM3i&amp;utparam-url=scene%3Asearch%7Cquery_from%3A%7Cx_object_id%3A1005002809828245%7C_p_origin_prod%3A</t>
  </si>
  <si>
    <t>https://de.aliexpress.com/item/1005012043076003.html?spm=a2g0o.productlist.main.1.734akWubkWubS6&amp;algo_pvid=72a68408-40b7-4073-b1de-9a88b68bfd7d&amp;algo_exp_id=72a68408-40b7-4073-b1de-9a88b68bfd7d-0&amp;pdp_ext_f=%7B%22order%22%3A%2219%22%2C%22spu_best_type%22%3A%22price%22%2C%22eval%22%3A%221%22%2C%22fromPage%22%3A%22search%22%7D&amp;pdp_npi=6%40dis%21EUR%2111.45%216.99%21%21%2186.66%2152.86%21%402161390417843739759033324e100c%2112000057366562845%21sea%21DE%210%21ABX%211%210%21n_tag%3A-29910%3Bd%3A23220bf0%3Bm03_new_user%3A-29895&amp;curPageLogUid=b41WCP6q7Yv6&amp;utparam-url=scene%3Asearch%7Cquery_from%3A%7Cx_object_id%3A1005012043076003%7C_p_origin_prod%3A</t>
  </si>
  <si>
    <t>D-Shaft  5x60mm</t>
  </si>
  <si>
    <t>Servo to Shaft Coupler  25T, 5mm Bore</t>
  </si>
  <si>
    <t>D-Shaft  5x45mm</t>
  </si>
  <si>
    <t>https://de.aliexpress.com/item/1005008084078658.html?spm=a2g0o.productlist.main.1.141fi6Rii6Rixp&amp;algo_pvid=20a221db-2b99-4b91-8b19-68befc329f31&amp;algo_exp_id=20a221db-2b99-4b91-8b19-68befc329f31-0&amp;pdp_ext_f=%7B%22order%22%3A%22411%22%2C%22eval%22%3A%221%22%2C%22fromPage%22%3A%22search%22%7D&amp;pdp_npi=6%40dis%21EUR%215.03%215.16%21%21%2138.10%2139.05%21%402103081117843750175155863e0d5b%2112000046474978340%21sea%21BG%210%21ABX%211%210%21n_tag%3A-29910%3Bd%3Ab8d743bc%3Bm03_new_user%3A-29895&amp;curPageLogUid=w2a4Ew33IG5l&amp;utparam-url=scene%3Asearch%7Cquery_from%3A%7Cx_object_id%3A1005008084078658%7C_p_origin_prod%3A&amp;gatewayAdapt=glo2deu</t>
  </si>
  <si>
    <t>Flanged Bearings 5x8x2.5mm</t>
  </si>
  <si>
    <t>Bearing come at 10 pcs</t>
  </si>
  <si>
    <t>https://www.aliexpress.com/item/1005002433587874.html?spm=a2g0o.productlist.main.13.6b98nGcWnGcWLU&amp;algo_pvid=867aa278-ebeb-4d5e-84d7-d57d98923c8e&amp;algo_exp_id=867aa278-ebeb-4d5e-84d7-d57d98923c8e-12&amp;pdp_ext_f=%7B%22order%22%3A%22285%22%2C%22eval%22%3A%221%22%2C%22fromPage%22%3A%22search%22%7D&amp;pdp_npi=6%40dis%21EUR%2131.04%2131.05%21%21%2134.94%2134.94%21%400b0fe0e117862726418795124e0da9%2112000033609672339%21sea%21BG%210%21ABX%211%210%21n_tag%3A-29910%3Bd%3Ab8d743bc%3Bm03_new_user%3A-29895&amp;curPageLogUid=4Gz3UoIpJ0b2&amp;utparam-url=scene%3Asearch%7Cquery_from%3A%7Cx_object_id%3A1005002433587874%7C_p_origin_prod%3A</t>
  </si>
  <si>
    <t>Active foaming PLA-LW material.
2 rolls of 1kg will be initially ordered.</t>
  </si>
  <si>
    <t>around 820mm needed for each half-wing</t>
  </si>
  <si>
    <t>CF Tube 18x16mm</t>
  </si>
  <si>
    <t>around 550mm needed per side
2 tubes per pack</t>
  </si>
  <si>
    <t>x600mm (2 tubes per pack)</t>
  </si>
  <si>
    <t>each</t>
  </si>
  <si>
    <t>https://www.aliexpress.com/item/1005006436550237.html?spm=a2g0o.cart.0.0.730838dax88ROf&amp;mp=1&amp;pdp_npi=6%40dis%21EUR%21EUR+12.80%21EUR+12.80%21%21EUR+12.80%21%21%21%402103973d17862847051156158e10ad%2112000037159963415%21ct%21BG%21793291276%21%211%210%21</t>
  </si>
  <si>
    <t>10-19days</t>
  </si>
  <si>
    <t>full 1000mm length needed for each half-wing.
2x944mm needed for structure inside fuselage.</t>
  </si>
  <si>
    <t>https://www.aliexpress.com/item/1005006797742158.html?spm=a2g0o.cart.0.0.730838dax88ROf&amp;mp=1&amp;pdp_npi=6%40dis%21EUR%21EUR+26.70%21EUR+23.23%21%21EUR+23.23%21%21%21%402103973d17862847051156158e10ad%2112000038337169331%21ct%21BG%21793291276%21%211%210%21</t>
  </si>
  <si>
    <t>10-20days</t>
  </si>
  <si>
    <t>around 180mm needed for the center wing box
around 550mm needed for each halfwing outbound
4tubes per pack</t>
  </si>
  <si>
    <t>x600mm (4 tubes per pack)</t>
  </si>
  <si>
    <t>https://www.easycomposites.eu/6mm-woven-finish-carbon-fibre-tube</t>
  </si>
  <si>
    <t>https://www.easycomposites.eu/22mm-woven-finish-carbon-fibre-tube</t>
  </si>
  <si>
    <t>2-6 days</t>
  </si>
  <si>
    <t>If rejected, specify why:</t>
  </si>
  <si>
    <t>D-Shafts would be manually manufactured using 5mm aluminum rods</t>
  </si>
  <si>
    <t>No EU Availability</t>
  </si>
  <si>
    <t>Core propulsion system component</t>
  </si>
  <si>
    <t>Ovonic Roam 6S 5Ah5 150C  XT90-S</t>
  </si>
  <si>
    <t>5-9 days</t>
  </si>
  <si>
    <t>https://www.ampow.com/products/ovonic-roam-series-6s-lipo-battery-5500mah-6s1p-150c-22-2v-long-range-lipo-battery-with-xt90-s-anti-spark-plug-for-6s-cinelifte-drone-multirotor-x-class?_pos=39&amp;_fid=ed406fb17&amp;_ss=c</t>
  </si>
  <si>
    <t>https://www.aliexpress.com/item/1005006753480927.html?gatewayAdapt=deu2glo</t>
  </si>
  <si>
    <t>Can also be bought for 49.99USD with 12USD shipping from sequermall.com</t>
  </si>
  <si>
    <t>https://www.aliexpress.com/item/1005012792435664.html</t>
  </si>
  <si>
    <t>10-20 days</t>
  </si>
  <si>
    <t>https://www.aliexpress.com/item/1005003122596249.html?spm=a2g0o.productlist.main.23.70394477bJf9UQ&amp;algo_pvid=169d2b7f-426b-4582-b7f2-1a69c234abe7&amp;algo_exp_id=169d2b7f-426b-4582-b7f2-1a69c234abe7-20&amp;pdp_ext_f=%7B%22order%22%3A%222145%22%2C%22eval%22%3A%221%22%2C%22fromPage%22%3A%22search%22%7D&amp;pdp_npi=6%40dis%21EUR%217.69%215.92%21%21%218.62%216.64%21%400b8848e317897611280765333e0f49%2112000024217621966%21sea%21BG%210%21ABX%211%210%21n_tag%3A-29910%3Bd%3Abb4150ed%3Bm03_new_user%3A-29895%3BpisId%3A5000000217831009&amp;curPageLogUid=7PGL6jiPmM9H&amp;utparam-url=scene%3Asearch%7Cquery_from%3A%7Cx_object_id%3A1005003122596249%7C_p_origin_prod%3A</t>
  </si>
  <si>
    <t>3-5 days</t>
  </si>
  <si>
    <t>https://www.rotorama.de/product/matek-xclass-pdb-fchub-12s</t>
  </si>
  <si>
    <t>Delivery with ECONT. Cheaper delivery options available</t>
  </si>
  <si>
    <t>https://n-factory.de/TBS-Crossfire-Diversity-Nano-RX-Receiver-FPV-Long-Range_1?srsltid=AU7gw4Vx0tsp-ivZWozvmeD9z-vS4TeDNtS8Ba--6kkVj-S0ciJFwk-R</t>
  </si>
  <si>
    <t>Available (fow now). We need to contact them separately for ordering</t>
  </si>
  <si>
    <t>TOTAL</t>
  </si>
  <si>
    <t>https://www.ampow.com/products/ovonic-roam-series-6s-lipo-battery-8000mah-6s1p-150c-22-2v-lipo-battery-with-xt90-s-anti-spark-plug-for-dji-uav-drone-x-class-6s-hd-cinelifter-long-range</t>
  </si>
  <si>
    <t>Ovonic Roam 6S 8Ah 150C</t>
  </si>
  <si>
    <t xml:space="preserve"> </t>
  </si>
  <si>
    <t>Lower density option available</t>
  </si>
  <si>
    <t>Sold in bulk. 8 pairs needed.</t>
  </si>
  <si>
    <t>KingMax DCS2016SP Servo</t>
  </si>
  <si>
    <t>https://www.aliexpress.com/item/1005012071771092.html?spm=a2g0o.productlist.main.5.1e48iOAyiOAysa&amp;algo_pvid=83ac18d0-f0b7-42c7-a0a4-143754ced9b3&amp;algo_exp_id=83ac18d0-f0b7-42c7-a0a4-143754ced9b3-4&amp;pdp_ext_f=%7B%22order%22%3A%2216%22%2C%22eval%22%3A%221%22%2C%22fromPage%22%3A%22search%22%7D&amp;pdp_npi=6%40dis%21EUR%2120.09%2120.09%21%21%21150.60%21150.60%21%402103828617900656040581423e1064%2112000057439409399%21sea%21BG%218022761881%21ABX%211%210%21n_tag%3A-29910%3Bd%3Ab8d743bc%3Bm03_new_user%3A-29895&amp;curPageLogUid=cjkYWPn8Cvj3&amp;utparam-url=scene%3Asearch%7Cquery_from%3A%7Cx_object_id%3A1005012071771092%7C_p_origin_prod%3A</t>
  </si>
  <si>
    <r>
      <t xml:space="preserve">Budget Servo - </t>
    </r>
    <r>
      <rPr>
        <b/>
        <sz val="11"/>
        <color theme="1"/>
        <rFont val="Aptos Narrow"/>
        <family val="2"/>
        <scheme val="minor"/>
      </rPr>
      <t>34kg option</t>
    </r>
  </si>
  <si>
    <t>Shipping cost based on 8pcs</t>
  </si>
  <si>
    <t>11-23days</t>
  </si>
  <si>
    <t>KingMax S40S Servo</t>
  </si>
  <si>
    <r>
      <t xml:space="preserve">High-End Servo - </t>
    </r>
    <r>
      <rPr>
        <b/>
        <sz val="11"/>
        <color theme="1"/>
        <rFont val="Aptos Narrow"/>
        <family val="2"/>
        <scheme val="minor"/>
      </rPr>
      <t>40kg option</t>
    </r>
  </si>
  <si>
    <t>https://www.aliexpress.com/item/1005006904005995.html?spm=a2g0o.productlist.main.1.10d0UshiUshiR3&amp;algo_pvid=c719c9d4-2227-4d7a-9ef8-5cb75879543e&amp;algo_exp_id=c719c9d4-2227-4d7a-9ef8-5cb75879543e-0&amp;pdp_ext_f=%7B%22order%22%3A%2225%22%2C%22eval%22%3A%221%22%2C%22fromPage%22%3A%22search%22%7D&amp;pdp_npi=6%40dis%21EUR%21133.83%2186.99%21%21%211003.22%21652.10%21%4021038a8017900675691068895e0f85%2112000038669224410%21sea%21BG%218022761881%21ABX%211%210%21n_tag%3A-29910%3Bd%3Ab8d743bc%3Bm03_new_user%3A-29895&amp;curPageLogUid=lqFzD61nfosz&amp;utparam-url=scene%3Asearch%7Cquery_from%3A%7Cx_object_id%3A1005006904005995%7C_p_origin_prod%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</si>
</sst>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left"/>
    </xf>
    <xf numFmtId="0" fontId="3" fillId="2" borderId="1" xfId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0" xfId="0" applyFont="1" applyFill="1"/>
    <xf numFmtId="0" fontId="4" fillId="2" borderId="1" xfId="0" applyFont="1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8" fillId="2" borderId="1" xfId="1" applyFont="1" applyFill="1" applyBorder="1"/>
    <xf numFmtId="0" fontId="0" fillId="0" borderId="1" xfId="0" applyBorder="1" applyAlignment="1">
      <alignment horizontal="left" vertical="center" wrapText="1"/>
    </xf>
    <xf numFmtId="0" fontId="9" fillId="4" borderId="0" xfId="0" applyFont="1" applyFill="1"/>
    <xf numFmtId="0" fontId="0" fillId="5" borderId="0" xfId="0" applyFill="1"/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2EB15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6753480927.html?gatewayAdapt=deu2glo" TargetMode="External"/><Relationship Id="rId13" Type="http://schemas.openxmlformats.org/officeDocument/2006/relationships/hyperlink" Target="https://www.aliexpress.com/item/1005009091133732.html" TargetMode="External"/><Relationship Id="rId3" Type="http://schemas.openxmlformats.org/officeDocument/2006/relationships/hyperlink" Target="https://www.aliexpress.com/item/1005006797742158.html?spm=a2g0o.cart.0.0.730838dax88ROf&amp;mp=1&amp;pdp_npi=6%40dis%21EUR%21EUR+26.70%21EUR+23.23%21%21EUR+23.23%21%21%21%402103973d17862847051156158e10ad%2112000038337169331%21ct%21BG%21793291276%21%211%210%21" TargetMode="External"/><Relationship Id="rId7" Type="http://schemas.openxmlformats.org/officeDocument/2006/relationships/hyperlink" Target="https://www.aliexpress.com/item/1005003122596249.html?spm=a2g0o.productlist.main.23.70394477bJf9UQ&amp;algo_pvid=169d2b7f-426b-4582-b7f2-1a69c234abe7&amp;algo_exp_id=169d2b7f-426b-4582-b7f2-1a69c234abe7-20&amp;pdp_ext_f=%7B%22order%22%3A%222145%22%2C%22eval%22%3A%221%22%2C%22fromPage%22%3A%22search%22%7D&amp;pdp_npi=6%40dis%21EUR%217.69%215.92%21%21%218.62%216.64%21%400b8848e317897611280765333e0f49%2112000024217621966%21sea%21BG%210%21ABX%211%210%21n_tag%3A-29910%3Bd%3Abb4150ed%3Bm03_new_user%3A-29895%3BpisId%3A5000000217831009&amp;curPageLogUid=7PGL6jiPmM9H&amp;utparam-url=scene%3Asearch%7Cquery_from%3A%7Cx_object_id%3A1005003122596249%7C_p_origin_prod%3A" TargetMode="External"/><Relationship Id="rId12" Type="http://schemas.openxmlformats.org/officeDocument/2006/relationships/hyperlink" Target="https://www.rotorama.de/product/matek-xclass-pdb-fchub-12s" TargetMode="External"/><Relationship Id="rId2" Type="http://schemas.openxmlformats.org/officeDocument/2006/relationships/hyperlink" Target="https://www.aliexpress.com/item/1005006436550237.html?spm=a2g0o.cart.0.0.730838dax88ROf&amp;mp=1&amp;pdp_npi=6%40dis%21EUR%21EUR+12.80%21EUR+12.80%21%21EUR+12.80%21%21%21%402103973d17862847051156158e10ad%2112000037159963415%21ct%21BG%21793291276%21%211%210%21" TargetMode="External"/><Relationship Id="rId1" Type="http://schemas.openxmlformats.org/officeDocument/2006/relationships/hyperlink" Target="https://3dprintx.bg/magazin/pa6-cf-with-spool-cherno-bambu-lab/?gad_source=1&amp;gad_campaignid=23369295043&amp;gbraid=0AAAABBeApTZEPbIRHor7bJZ92Gq7vT3lv&amp;gclid=CjwKCAjwxITRBhBYEiwA6mZm7bCe5kvsvoz_znE0dv8i7YoYQrUSTdOaCQ7RKckeGywr-XLrI4hECRoCo7MQAvD_BwE" TargetMode="External"/><Relationship Id="rId6" Type="http://schemas.openxmlformats.org/officeDocument/2006/relationships/hyperlink" Target="https://www.aliexpress.com/item/1005003975746499.html?gatewayAdapt=deu2glo" TargetMode="External"/><Relationship Id="rId11" Type="http://schemas.openxmlformats.org/officeDocument/2006/relationships/hyperlink" Target="https://www.aliexpress.com/item/1005012792435664.html" TargetMode="External"/><Relationship Id="rId5" Type="http://schemas.openxmlformats.org/officeDocument/2006/relationships/hyperlink" Target="https://www.easycomposites.eu/22mm-woven-finish-carbon-fibre-tube" TargetMode="External"/><Relationship Id="rId10" Type="http://schemas.openxmlformats.org/officeDocument/2006/relationships/hyperlink" Target="https://n-factory.de/TBS-Crossfire-Diversity-Nano-RX-Receiver-FPV-Long-Range_1?srsltid=AU7gw4Vx0tsp-ivZWozvmeD9z-vS4TeDNtS8Ba--6kkVj-S0ciJFwk-R" TargetMode="External"/><Relationship Id="rId4" Type="http://schemas.openxmlformats.org/officeDocument/2006/relationships/hyperlink" Target="https://www.easycomposites.eu/6mm-woven-finish-carbon-fibre-tube" TargetMode="External"/><Relationship Id="rId9" Type="http://schemas.openxmlformats.org/officeDocument/2006/relationships/hyperlink" Target="https://www.ampow.com/products/ovonic-roam-series-6s-lipo-battery-5500mah-6s1p-150c-22-2v-long-range-lipo-battery-with-xt90-s-anti-spark-plug-for-6s-cinelifte-drone-multirotor-x-class?_pos=39&amp;_fid=ed406fb17&amp;_ss=c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099F-610B-4C2F-A80F-3888BDD56E8E}">
  <dimension ref="B2:D14"/>
  <sheetViews>
    <sheetView workbookViewId="0">
      <selection activeCell="D3" sqref="D3"/>
    </sheetView>
  </sheetViews>
  <sheetFormatPr defaultColWidth="8.88671875" defaultRowHeight="14.4" x14ac:dyDescent="0.3"/>
  <cols>
    <col min="4" max="4" width="33.33203125" bestFit="1" customWidth="1"/>
  </cols>
  <sheetData>
    <row r="2" spans="2:4" x14ac:dyDescent="0.3">
      <c r="B2" s="4" t="s">
        <v>3</v>
      </c>
      <c r="C2" s="4" t="s">
        <v>9</v>
      </c>
      <c r="D2" s="4" t="s">
        <v>17</v>
      </c>
    </row>
    <row r="3" spans="2:4" x14ac:dyDescent="0.3">
      <c r="B3" t="s">
        <v>4</v>
      </c>
      <c r="C3" t="s">
        <v>36</v>
      </c>
      <c r="D3" t="s">
        <v>24</v>
      </c>
    </row>
    <row r="4" spans="2:4" x14ac:dyDescent="0.3">
      <c r="B4" t="s">
        <v>6</v>
      </c>
      <c r="C4" t="s">
        <v>10</v>
      </c>
      <c r="D4" t="s">
        <v>18</v>
      </c>
    </row>
    <row r="5" spans="2:4" x14ac:dyDescent="0.3">
      <c r="B5" t="s">
        <v>5</v>
      </c>
      <c r="C5" t="s">
        <v>11</v>
      </c>
      <c r="D5" t="s">
        <v>19</v>
      </c>
    </row>
    <row r="6" spans="2:4" x14ac:dyDescent="0.3">
      <c r="B6" t="s">
        <v>7</v>
      </c>
      <c r="C6" t="s">
        <v>12</v>
      </c>
      <c r="D6" t="s">
        <v>25</v>
      </c>
    </row>
    <row r="7" spans="2:4" x14ac:dyDescent="0.3">
      <c r="B7" t="s">
        <v>113</v>
      </c>
      <c r="C7" t="s">
        <v>13</v>
      </c>
      <c r="D7" t="s">
        <v>26</v>
      </c>
    </row>
    <row r="8" spans="2:4" x14ac:dyDescent="0.3">
      <c r="D8" t="s">
        <v>27</v>
      </c>
    </row>
    <row r="9" spans="2:4" x14ac:dyDescent="0.3">
      <c r="D9" t="s">
        <v>28</v>
      </c>
    </row>
    <row r="10" spans="2:4" x14ac:dyDescent="0.3">
      <c r="D10" t="s">
        <v>29</v>
      </c>
    </row>
    <row r="11" spans="2:4" x14ac:dyDescent="0.3">
      <c r="D11" t="s">
        <v>30</v>
      </c>
    </row>
    <row r="12" spans="2:4" x14ac:dyDescent="0.3">
      <c r="D12" t="s">
        <v>31</v>
      </c>
    </row>
    <row r="13" spans="2:4" x14ac:dyDescent="0.3">
      <c r="D13" t="s">
        <v>20</v>
      </c>
    </row>
    <row r="14" spans="2:4" x14ac:dyDescent="0.3">
      <c r="D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4346-BCBC-4D9C-B399-F93315446069}">
  <dimension ref="A1:N41"/>
  <sheetViews>
    <sheetView tabSelected="1" zoomScale="85" zoomScaleNormal="85" workbookViewId="0">
      <selection activeCell="K27" sqref="K27"/>
    </sheetView>
  </sheetViews>
  <sheetFormatPr defaultColWidth="8.88671875" defaultRowHeight="14.4" x14ac:dyDescent="0.3"/>
  <cols>
    <col min="1" max="1" width="3" style="1" bestFit="1" customWidth="1"/>
    <col min="2" max="2" width="34.88671875" style="7" customWidth="1"/>
    <col min="3" max="3" width="50" style="2" customWidth="1"/>
    <col min="4" max="4" width="37.6640625" style="1" bestFit="1" customWidth="1"/>
    <col min="5" max="6" width="8.88671875" style="1"/>
    <col min="7" max="7" width="8.109375" style="1" bestFit="1" customWidth="1"/>
    <col min="8" max="8" width="5.109375" style="1" bestFit="1" customWidth="1"/>
    <col min="9" max="9" width="12.33203125" style="1" bestFit="1" customWidth="1"/>
    <col min="10" max="10" width="12.33203125" style="1" customWidth="1"/>
    <col min="11" max="11" width="9.44140625" style="1" bestFit="1" customWidth="1"/>
    <col min="12" max="12" width="8.88671875" style="1"/>
    <col min="13" max="13" width="55" style="17" bestFit="1" customWidth="1"/>
    <col min="14" max="14" width="60.6640625" style="2" bestFit="1" customWidth="1"/>
    <col min="15" max="16384" width="8.88671875" style="2"/>
  </cols>
  <sheetData>
    <row r="1" spans="1:14" x14ac:dyDescent="0.3">
      <c r="A1" s="5" t="s">
        <v>23</v>
      </c>
      <c r="C1" s="6"/>
      <c r="M1" s="2"/>
    </row>
    <row r="2" spans="1:14" ht="27" customHeight="1" x14ac:dyDescent="0.3">
      <c r="A2" s="9" t="s">
        <v>0</v>
      </c>
      <c r="B2" s="10" t="s">
        <v>15</v>
      </c>
      <c r="C2" s="11" t="s">
        <v>16</v>
      </c>
      <c r="D2" s="12" t="s">
        <v>17</v>
      </c>
      <c r="E2" s="9" t="s">
        <v>35</v>
      </c>
      <c r="F2" s="12" t="s">
        <v>42</v>
      </c>
      <c r="G2" s="9" t="s">
        <v>2</v>
      </c>
      <c r="H2" s="9" t="s">
        <v>3</v>
      </c>
      <c r="I2" s="9" t="s">
        <v>8</v>
      </c>
      <c r="J2" s="9" t="s">
        <v>34</v>
      </c>
      <c r="K2" s="9" t="s">
        <v>22</v>
      </c>
      <c r="L2" s="9" t="s">
        <v>9</v>
      </c>
      <c r="M2" s="11" t="s">
        <v>14</v>
      </c>
      <c r="N2" s="11" t="s">
        <v>124</v>
      </c>
    </row>
    <row r="3" spans="1:14" x14ac:dyDescent="0.3">
      <c r="A3" s="15">
        <f>IF(B3&lt;&gt;"",COUNTA($B$3:B3),"")</f>
        <v>1</v>
      </c>
      <c r="B3" s="14" t="s">
        <v>1</v>
      </c>
      <c r="C3" s="13" t="s">
        <v>32</v>
      </c>
      <c r="D3" s="15" t="s">
        <v>20</v>
      </c>
      <c r="E3" s="15"/>
      <c r="F3" s="15">
        <v>0</v>
      </c>
      <c r="G3" s="15">
        <v>1</v>
      </c>
      <c r="H3" s="15" t="s">
        <v>4</v>
      </c>
      <c r="I3" s="3"/>
      <c r="J3" s="15">
        <f>(G3*E3)+F3</f>
        <v>0</v>
      </c>
      <c r="K3" s="15" t="s">
        <v>33</v>
      </c>
      <c r="L3" s="22" t="s">
        <v>36</v>
      </c>
      <c r="M3" s="16"/>
      <c r="N3" s="16"/>
    </row>
    <row r="4" spans="1:14" x14ac:dyDescent="0.3">
      <c r="A4" s="15">
        <f>IF(B4&lt;&gt;"",COUNTA($B$3:B4),"")</f>
        <v>2</v>
      </c>
      <c r="B4" s="14" t="s">
        <v>38</v>
      </c>
      <c r="C4" s="13" t="s">
        <v>45</v>
      </c>
      <c r="D4" s="15" t="s">
        <v>29</v>
      </c>
      <c r="E4" s="15">
        <v>43.2</v>
      </c>
      <c r="F4" s="15">
        <v>0</v>
      </c>
      <c r="G4" s="15">
        <v>1</v>
      </c>
      <c r="H4" s="15" t="s">
        <v>4</v>
      </c>
      <c r="I4" s="8" t="s">
        <v>43</v>
      </c>
      <c r="J4" s="15">
        <f>(G4*E4)+F4</f>
        <v>43.2</v>
      </c>
      <c r="K4" s="15" t="s">
        <v>44</v>
      </c>
      <c r="L4" s="22" t="s">
        <v>10</v>
      </c>
      <c r="M4" s="16" t="s">
        <v>46</v>
      </c>
      <c r="N4" s="16"/>
    </row>
    <row r="5" spans="1:14" ht="28.8" x14ac:dyDescent="0.3">
      <c r="A5" s="15">
        <f>IF(B5&lt;&gt;"",COUNTA($B$3:B5),"")</f>
        <v>3</v>
      </c>
      <c r="B5" s="24" t="s">
        <v>110</v>
      </c>
      <c r="C5" s="13" t="s">
        <v>112</v>
      </c>
      <c r="D5" s="15" t="s">
        <v>24</v>
      </c>
      <c r="E5" s="15">
        <v>12.8</v>
      </c>
      <c r="F5" s="15">
        <v>5.16</v>
      </c>
      <c r="G5" s="15">
        <v>1</v>
      </c>
      <c r="H5" s="15" t="s">
        <v>113</v>
      </c>
      <c r="I5" s="8" t="s">
        <v>114</v>
      </c>
      <c r="J5" s="15">
        <f>(G5*E5)+F5</f>
        <v>17.96</v>
      </c>
      <c r="K5" s="15" t="s">
        <v>115</v>
      </c>
      <c r="L5" s="22" t="s">
        <v>12</v>
      </c>
      <c r="M5" s="18" t="s">
        <v>111</v>
      </c>
      <c r="N5" s="16"/>
    </row>
    <row r="6" spans="1:14" ht="43.2" x14ac:dyDescent="0.3">
      <c r="A6" s="15">
        <f>IF(B6&lt;&gt;"",COUNTA($B$3:B6),"")</f>
        <v>4</v>
      </c>
      <c r="B6" s="24" t="s">
        <v>40</v>
      </c>
      <c r="C6" s="13" t="s">
        <v>120</v>
      </c>
      <c r="D6" s="15" t="s">
        <v>24</v>
      </c>
      <c r="E6" s="15">
        <v>23.23</v>
      </c>
      <c r="F6" s="15">
        <v>10.09</v>
      </c>
      <c r="G6" s="15">
        <v>1</v>
      </c>
      <c r="H6" s="15" t="s">
        <v>113</v>
      </c>
      <c r="I6" s="8" t="s">
        <v>117</v>
      </c>
      <c r="J6" s="15">
        <f>(G6*E6)+F6</f>
        <v>33.32</v>
      </c>
      <c r="K6" s="15" t="s">
        <v>118</v>
      </c>
      <c r="L6" s="22" t="s">
        <v>12</v>
      </c>
      <c r="M6" s="18" t="s">
        <v>119</v>
      </c>
      <c r="N6" s="16"/>
    </row>
    <row r="7" spans="1:14" ht="28.8" x14ac:dyDescent="0.3">
      <c r="A7" s="15">
        <f>IF(B7&lt;&gt;"",COUNTA($B$3:B7),"")</f>
        <v>5</v>
      </c>
      <c r="B7" s="24" t="s">
        <v>37</v>
      </c>
      <c r="C7" s="13" t="s">
        <v>41</v>
      </c>
      <c r="D7" s="15" t="s">
        <v>24</v>
      </c>
      <c r="E7" s="15">
        <v>31.22</v>
      </c>
      <c r="F7" s="32">
        <v>18.75</v>
      </c>
      <c r="G7" s="15">
        <v>4</v>
      </c>
      <c r="H7" s="15" t="s">
        <v>4</v>
      </c>
      <c r="I7" s="8" t="s">
        <v>121</v>
      </c>
      <c r="J7" s="15">
        <f t="shared" ref="J7:J23" si="0">(G7*E7)+F7</f>
        <v>143.63</v>
      </c>
      <c r="K7" s="23" t="s">
        <v>123</v>
      </c>
      <c r="L7" s="22" t="s">
        <v>10</v>
      </c>
      <c r="M7" s="18" t="s">
        <v>116</v>
      </c>
      <c r="N7" s="16"/>
    </row>
    <row r="8" spans="1:14" x14ac:dyDescent="0.3">
      <c r="A8" s="15">
        <f>IF(B8&lt;&gt;"",COUNTA($B$3:B8),"")</f>
        <v>6</v>
      </c>
      <c r="B8" s="24" t="s">
        <v>39</v>
      </c>
      <c r="C8" s="13" t="s">
        <v>41</v>
      </c>
      <c r="D8" s="15" t="s">
        <v>24</v>
      </c>
      <c r="E8" s="15">
        <v>12.83</v>
      </c>
      <c r="F8" s="33"/>
      <c r="G8" s="15">
        <v>2</v>
      </c>
      <c r="H8" s="15" t="s">
        <v>4</v>
      </c>
      <c r="I8" s="8" t="s">
        <v>122</v>
      </c>
      <c r="J8" s="15">
        <f t="shared" si="0"/>
        <v>25.66</v>
      </c>
      <c r="K8" s="23" t="s">
        <v>123</v>
      </c>
      <c r="L8" s="22" t="s">
        <v>10</v>
      </c>
      <c r="M8" s="16" t="s">
        <v>109</v>
      </c>
      <c r="N8" s="16"/>
    </row>
    <row r="9" spans="1:14" ht="28.8" x14ac:dyDescent="0.3">
      <c r="A9" s="15">
        <f>IF(B9&lt;&gt;"",COUNTA($B$3:B9),"")</f>
        <v>7</v>
      </c>
      <c r="B9" s="24" t="s">
        <v>47</v>
      </c>
      <c r="C9" s="13" t="s">
        <v>49</v>
      </c>
      <c r="D9" s="15" t="s">
        <v>29</v>
      </c>
      <c r="E9" s="15">
        <v>30.43</v>
      </c>
      <c r="F9" s="15">
        <v>8.64</v>
      </c>
      <c r="G9" s="15">
        <v>2</v>
      </c>
      <c r="H9" s="15" t="s">
        <v>4</v>
      </c>
      <c r="I9" s="3" t="s">
        <v>107</v>
      </c>
      <c r="J9" s="15">
        <f t="shared" si="0"/>
        <v>69.5</v>
      </c>
      <c r="K9" s="15" t="s">
        <v>48</v>
      </c>
      <c r="L9" s="22" t="s">
        <v>12</v>
      </c>
      <c r="M9" s="18" t="s">
        <v>108</v>
      </c>
      <c r="N9" s="27"/>
    </row>
    <row r="10" spans="1:14" x14ac:dyDescent="0.3">
      <c r="A10" s="15">
        <f>IF(B10&lt;&gt;"",COUNTA($B$3:B10),"")</f>
        <v>8</v>
      </c>
      <c r="B10" s="25" t="s">
        <v>50</v>
      </c>
      <c r="C10" s="13" t="s">
        <v>50</v>
      </c>
      <c r="D10" s="15" t="s">
        <v>28</v>
      </c>
      <c r="E10" s="15"/>
      <c r="F10" s="15"/>
      <c r="G10" s="15">
        <v>1</v>
      </c>
      <c r="H10" s="15" t="s">
        <v>4</v>
      </c>
      <c r="I10" s="3"/>
      <c r="J10" s="15">
        <f t="shared" si="0"/>
        <v>0</v>
      </c>
      <c r="L10" s="22" t="s">
        <v>36</v>
      </c>
      <c r="M10" s="16"/>
      <c r="N10" s="16"/>
    </row>
    <row r="11" spans="1:14" x14ac:dyDescent="0.3">
      <c r="A11" s="15">
        <f>IF(B11&lt;&gt;"",COUNTA($B$3:B11),"")</f>
        <v>9</v>
      </c>
      <c r="B11" s="28" t="s">
        <v>56</v>
      </c>
      <c r="C11" s="13" t="s">
        <v>51</v>
      </c>
      <c r="D11" s="15" t="s">
        <v>19</v>
      </c>
      <c r="E11" s="15">
        <v>60.75</v>
      </c>
      <c r="F11" s="15">
        <v>0</v>
      </c>
      <c r="G11" s="15">
        <v>4</v>
      </c>
      <c r="H11" s="15" t="s">
        <v>4</v>
      </c>
      <c r="I11" s="3" t="s">
        <v>70</v>
      </c>
      <c r="J11" s="15">
        <f t="shared" si="0"/>
        <v>243</v>
      </c>
      <c r="K11" s="15" t="s">
        <v>96</v>
      </c>
      <c r="L11" s="22" t="s">
        <v>13</v>
      </c>
      <c r="M11" s="16" t="s">
        <v>127</v>
      </c>
      <c r="N11" s="16" t="s">
        <v>126</v>
      </c>
    </row>
    <row r="12" spans="1:14" x14ac:dyDescent="0.3">
      <c r="A12" s="15">
        <f>IF(B12&lt;&gt;"",COUNTA($B$3:B12),"")</f>
        <v>10</v>
      </c>
      <c r="B12" s="24" t="s">
        <v>143</v>
      </c>
      <c r="C12" s="13" t="s">
        <v>51</v>
      </c>
      <c r="D12" s="15" t="s">
        <v>19</v>
      </c>
      <c r="E12" s="15">
        <v>92</v>
      </c>
      <c r="F12" s="15">
        <v>24.57</v>
      </c>
      <c r="G12" s="15">
        <v>2</v>
      </c>
      <c r="H12" s="15" t="s">
        <v>4</v>
      </c>
      <c r="I12" s="31" t="s">
        <v>142</v>
      </c>
      <c r="J12" s="15">
        <f t="shared" si="0"/>
        <v>208.57</v>
      </c>
      <c r="K12" s="23" t="s">
        <v>129</v>
      </c>
      <c r="L12" s="22" t="s">
        <v>10</v>
      </c>
      <c r="M12" s="16" t="s">
        <v>127</v>
      </c>
      <c r="N12" s="16"/>
    </row>
    <row r="13" spans="1:14" x14ac:dyDescent="0.3">
      <c r="A13" s="15">
        <f>IF(B13&lt;&gt;"",COUNTA($B$3:B13),"")</f>
        <v>11</v>
      </c>
      <c r="B13" s="24" t="s">
        <v>128</v>
      </c>
      <c r="C13" s="13" t="s">
        <v>51</v>
      </c>
      <c r="D13" s="15" t="s">
        <v>19</v>
      </c>
      <c r="E13" s="15">
        <v>62.75</v>
      </c>
      <c r="F13" s="15">
        <v>24.57</v>
      </c>
      <c r="G13" s="15">
        <v>2</v>
      </c>
      <c r="H13" s="15" t="s">
        <v>4</v>
      </c>
      <c r="I13" s="8" t="s">
        <v>130</v>
      </c>
      <c r="J13" s="15">
        <f t="shared" si="0"/>
        <v>150.07</v>
      </c>
      <c r="K13" s="23" t="s">
        <v>129</v>
      </c>
      <c r="L13" s="22" t="s">
        <v>13</v>
      </c>
      <c r="M13" s="16" t="s">
        <v>127</v>
      </c>
      <c r="N13" s="16" t="s">
        <v>145</v>
      </c>
    </row>
    <row r="14" spans="1:14" x14ac:dyDescent="0.3">
      <c r="A14" s="15">
        <f>IF(B14&lt;&gt;"",COUNTA($B$3:B14),"")</f>
        <v>12</v>
      </c>
      <c r="B14" s="24" t="s">
        <v>94</v>
      </c>
      <c r="C14" s="13" t="s">
        <v>92</v>
      </c>
      <c r="D14" s="15" t="s">
        <v>18</v>
      </c>
      <c r="E14" s="15">
        <v>16.45</v>
      </c>
      <c r="F14" s="15">
        <v>0</v>
      </c>
      <c r="G14" s="15">
        <v>2</v>
      </c>
      <c r="H14" s="15" t="s">
        <v>4</v>
      </c>
      <c r="I14" s="8" t="s">
        <v>93</v>
      </c>
      <c r="J14" s="15">
        <f t="shared" si="0"/>
        <v>32.9</v>
      </c>
      <c r="K14" s="15" t="s">
        <v>48</v>
      </c>
      <c r="L14" s="22" t="s">
        <v>10</v>
      </c>
      <c r="M14" s="16" t="s">
        <v>95</v>
      </c>
      <c r="N14" s="16"/>
    </row>
    <row r="15" spans="1:14" x14ac:dyDescent="0.3">
      <c r="A15" s="15">
        <f>IF(B15&lt;&gt;"",COUNTA($B$3:B15),"")</f>
        <v>13</v>
      </c>
      <c r="B15" s="28" t="s">
        <v>55</v>
      </c>
      <c r="C15" s="13" t="s">
        <v>52</v>
      </c>
      <c r="D15" s="15" t="s">
        <v>19</v>
      </c>
      <c r="E15" s="15"/>
      <c r="F15" s="15"/>
      <c r="G15" s="15">
        <v>1</v>
      </c>
      <c r="H15" s="15" t="s">
        <v>4</v>
      </c>
      <c r="I15" s="3"/>
      <c r="J15" s="15">
        <f t="shared" si="0"/>
        <v>0</v>
      </c>
      <c r="K15" s="15"/>
      <c r="L15" s="22" t="s">
        <v>36</v>
      </c>
      <c r="M15" s="16"/>
      <c r="N15" s="16"/>
    </row>
    <row r="16" spans="1:14" x14ac:dyDescent="0.3">
      <c r="A16" s="15">
        <f>IF(B16&lt;&gt;"",COUNTA($B$3:B16),"")</f>
        <v>14</v>
      </c>
      <c r="B16" s="13" t="s">
        <v>57</v>
      </c>
      <c r="C16" s="13" t="s">
        <v>58</v>
      </c>
      <c r="D16" s="15" t="s">
        <v>25</v>
      </c>
      <c r="E16" s="15"/>
      <c r="F16" s="15"/>
      <c r="G16" s="15">
        <v>1</v>
      </c>
      <c r="H16" s="15" t="s">
        <v>4</v>
      </c>
      <c r="I16" s="3"/>
      <c r="J16" s="15">
        <f t="shared" si="0"/>
        <v>0</v>
      </c>
      <c r="K16" s="15"/>
      <c r="L16" s="22" t="s">
        <v>36</v>
      </c>
      <c r="M16" s="16"/>
      <c r="N16" s="16"/>
    </row>
    <row r="17" spans="1:14" x14ac:dyDescent="0.3">
      <c r="A17" s="15">
        <f>IF(B17&lt;&gt;"",COUNTA($B$3:B17),"")</f>
        <v>15</v>
      </c>
      <c r="B17" s="13" t="s">
        <v>53</v>
      </c>
      <c r="C17" s="13" t="s">
        <v>68</v>
      </c>
      <c r="D17" s="15" t="s">
        <v>18</v>
      </c>
      <c r="E17" s="15">
        <v>51.39</v>
      </c>
      <c r="F17" s="15">
        <v>16.739999999999998</v>
      </c>
      <c r="G17" s="15">
        <v>4</v>
      </c>
      <c r="H17" s="15" t="s">
        <v>4</v>
      </c>
      <c r="I17" s="8" t="s">
        <v>131</v>
      </c>
      <c r="J17" s="15">
        <f t="shared" si="0"/>
        <v>222.3</v>
      </c>
      <c r="K17" s="15" t="s">
        <v>91</v>
      </c>
      <c r="L17" s="22" t="s">
        <v>10</v>
      </c>
      <c r="M17" s="16" t="s">
        <v>132</v>
      </c>
      <c r="N17" s="16"/>
    </row>
    <row r="18" spans="1:14" x14ac:dyDescent="0.3">
      <c r="A18" s="15">
        <f>IF(B18&lt;&gt;"",COUNTA($B$3:B18),"")</f>
        <v>16</v>
      </c>
      <c r="B18" s="13" t="s">
        <v>66</v>
      </c>
      <c r="C18" s="13" t="s">
        <v>67</v>
      </c>
      <c r="D18" s="15" t="s">
        <v>25</v>
      </c>
      <c r="E18" s="15">
        <v>63.99</v>
      </c>
      <c r="F18" s="15">
        <v>0</v>
      </c>
      <c r="G18" s="15">
        <v>1</v>
      </c>
      <c r="H18" s="15" t="s">
        <v>4</v>
      </c>
      <c r="I18" s="8" t="s">
        <v>133</v>
      </c>
      <c r="J18" s="15">
        <f t="shared" si="0"/>
        <v>63.99</v>
      </c>
      <c r="K18" s="15" t="s">
        <v>134</v>
      </c>
      <c r="L18" s="22" t="s">
        <v>10</v>
      </c>
      <c r="M18" s="16" t="s">
        <v>90</v>
      </c>
      <c r="N18" s="16"/>
    </row>
    <row r="19" spans="1:14" x14ac:dyDescent="0.3">
      <c r="A19" s="15">
        <f>IF(B19&lt;&gt;"",COUNTA($B$3:B19),"")</f>
        <v>17</v>
      </c>
      <c r="B19" s="24" t="s">
        <v>54</v>
      </c>
      <c r="C19" s="13" t="s">
        <v>65</v>
      </c>
      <c r="D19" s="15" t="s">
        <v>25</v>
      </c>
      <c r="E19" s="15"/>
      <c r="F19" s="15"/>
      <c r="G19" s="15">
        <v>1</v>
      </c>
      <c r="H19" s="15" t="s">
        <v>4</v>
      </c>
      <c r="I19" s="3"/>
      <c r="J19" s="15">
        <f t="shared" si="0"/>
        <v>0</v>
      </c>
      <c r="K19" s="15"/>
      <c r="L19" s="22" t="s">
        <v>36</v>
      </c>
      <c r="M19" s="16"/>
      <c r="N19" s="16"/>
    </row>
    <row r="20" spans="1:14" ht="28.8" x14ac:dyDescent="0.3">
      <c r="A20" s="15">
        <f>IF(B20&lt;&gt;"",COUNTA($B$3:B20),"")</f>
        <v>18</v>
      </c>
      <c r="B20" s="24" t="s">
        <v>72</v>
      </c>
      <c r="C20" s="13" t="s">
        <v>59</v>
      </c>
      <c r="D20" s="15" t="s">
        <v>30</v>
      </c>
      <c r="E20" s="15">
        <v>5.92</v>
      </c>
      <c r="F20" s="15">
        <v>5.95</v>
      </c>
      <c r="G20" s="15">
        <v>2</v>
      </c>
      <c r="H20" s="15" t="s">
        <v>4</v>
      </c>
      <c r="I20" s="8" t="s">
        <v>135</v>
      </c>
      <c r="J20" s="15">
        <f t="shared" si="0"/>
        <v>17.79</v>
      </c>
      <c r="K20" s="15" t="s">
        <v>134</v>
      </c>
      <c r="L20" s="22" t="s">
        <v>10</v>
      </c>
      <c r="M20" s="16" t="s">
        <v>146</v>
      </c>
      <c r="N20" s="16"/>
    </row>
    <row r="21" spans="1:14" x14ac:dyDescent="0.3">
      <c r="A21" s="15">
        <f>IF(B21&lt;&gt;"",COUNTA($B$3:B21),"")</f>
        <v>19</v>
      </c>
      <c r="B21" s="24" t="s">
        <v>74</v>
      </c>
      <c r="C21" s="13" t="s">
        <v>59</v>
      </c>
      <c r="D21" s="15" t="s">
        <v>30</v>
      </c>
      <c r="E21" s="15">
        <v>7.04</v>
      </c>
      <c r="F21" s="15">
        <v>0</v>
      </c>
      <c r="G21" s="15">
        <v>1</v>
      </c>
      <c r="H21" s="15" t="s">
        <v>4</v>
      </c>
      <c r="I21" s="3" t="s">
        <v>75</v>
      </c>
      <c r="J21" s="15">
        <f t="shared" si="0"/>
        <v>7.04</v>
      </c>
      <c r="K21" s="15" t="s">
        <v>48</v>
      </c>
      <c r="L21" s="22" t="s">
        <v>36</v>
      </c>
      <c r="M21" s="16" t="s">
        <v>73</v>
      </c>
      <c r="N21" s="16"/>
    </row>
    <row r="22" spans="1:14" x14ac:dyDescent="0.3">
      <c r="A22" s="15">
        <f>IF(B22&lt;&gt;"",COUNTA($B$3:B22),"")</f>
        <v>20</v>
      </c>
      <c r="B22" s="24" t="s">
        <v>76</v>
      </c>
      <c r="C22" s="13" t="s">
        <v>83</v>
      </c>
      <c r="D22" s="15" t="s">
        <v>30</v>
      </c>
      <c r="E22" s="15">
        <v>14.81</v>
      </c>
      <c r="F22" s="15">
        <v>0</v>
      </c>
      <c r="G22" s="15">
        <v>1</v>
      </c>
      <c r="H22" s="15" t="s">
        <v>4</v>
      </c>
      <c r="I22" s="3" t="s">
        <v>80</v>
      </c>
      <c r="J22" s="15">
        <f t="shared" si="0"/>
        <v>14.81</v>
      </c>
      <c r="K22" s="15" t="s">
        <v>48</v>
      </c>
      <c r="L22" s="22" t="s">
        <v>36</v>
      </c>
      <c r="M22" s="16" t="s">
        <v>71</v>
      </c>
      <c r="N22" s="16"/>
    </row>
    <row r="23" spans="1:14" x14ac:dyDescent="0.3">
      <c r="A23" s="15">
        <f>IF(B23&lt;&gt;"",COUNTA($B$3:B23),"")</f>
        <v>21</v>
      </c>
      <c r="B23" s="24" t="s">
        <v>84</v>
      </c>
      <c r="C23" s="13" t="s">
        <v>82</v>
      </c>
      <c r="D23" s="15" t="s">
        <v>30</v>
      </c>
      <c r="E23" s="15">
        <v>6.61</v>
      </c>
      <c r="F23" s="15">
        <v>0</v>
      </c>
      <c r="G23" s="15">
        <v>1</v>
      </c>
      <c r="H23" s="15" t="s">
        <v>4</v>
      </c>
      <c r="I23" s="3" t="s">
        <v>81</v>
      </c>
      <c r="J23" s="15">
        <f t="shared" si="0"/>
        <v>6.61</v>
      </c>
      <c r="K23" s="15" t="s">
        <v>48</v>
      </c>
      <c r="L23" s="22" t="s">
        <v>36</v>
      </c>
      <c r="M23" s="16" t="s">
        <v>71</v>
      </c>
      <c r="N23" s="16"/>
    </row>
    <row r="24" spans="1:14" ht="12.75" customHeight="1" x14ac:dyDescent="0.3">
      <c r="A24" s="15">
        <f>IF(B24&lt;&gt;"",COUNTA($B$3:B24),"")</f>
        <v>22</v>
      </c>
      <c r="B24" s="26" t="s">
        <v>78</v>
      </c>
      <c r="C24" s="13" t="s">
        <v>79</v>
      </c>
      <c r="D24" s="15" t="s">
        <v>30</v>
      </c>
      <c r="E24" s="15">
        <v>8.66</v>
      </c>
      <c r="F24" s="15">
        <v>0</v>
      </c>
      <c r="G24" s="15">
        <v>1</v>
      </c>
      <c r="H24" s="15" t="s">
        <v>4</v>
      </c>
      <c r="I24" s="13" t="s">
        <v>77</v>
      </c>
      <c r="J24" s="15">
        <f t="shared" ref="J24:J30" si="1">(G24*E24)+F24</f>
        <v>8.66</v>
      </c>
      <c r="K24" s="15" t="s">
        <v>48</v>
      </c>
      <c r="L24" s="22" t="s">
        <v>36</v>
      </c>
      <c r="M24" s="16"/>
      <c r="N24" s="16"/>
    </row>
    <row r="25" spans="1:14" x14ac:dyDescent="0.3">
      <c r="A25" s="15">
        <f>IF(B25&lt;&gt;"",COUNTA($B$3:B25),"")</f>
        <v>23</v>
      </c>
      <c r="B25" s="24" t="s">
        <v>147</v>
      </c>
      <c r="C25" s="13" t="s">
        <v>149</v>
      </c>
      <c r="D25" s="15" t="s">
        <v>25</v>
      </c>
      <c r="E25" s="15">
        <v>20.09</v>
      </c>
      <c r="F25" s="15">
        <v>15.25</v>
      </c>
      <c r="G25" s="15">
        <v>8</v>
      </c>
      <c r="H25" s="15" t="s">
        <v>4</v>
      </c>
      <c r="I25" s="3" t="s">
        <v>148</v>
      </c>
      <c r="J25" s="15">
        <f t="shared" si="1"/>
        <v>175.97</v>
      </c>
      <c r="K25" s="15" t="s">
        <v>151</v>
      </c>
      <c r="L25" s="22" t="s">
        <v>10</v>
      </c>
      <c r="M25" s="16" t="s">
        <v>150</v>
      </c>
      <c r="N25" s="16"/>
    </row>
    <row r="26" spans="1:14" x14ac:dyDescent="0.3">
      <c r="A26" s="15">
        <f>IF(B26&lt;&gt;"",COUNTA($B$3:B26),"")</f>
        <v>24</v>
      </c>
      <c r="B26" s="24" t="s">
        <v>152</v>
      </c>
      <c r="C26" s="13" t="s">
        <v>153</v>
      </c>
      <c r="D26" s="15" t="s">
        <v>25</v>
      </c>
      <c r="E26" s="15">
        <v>86.99</v>
      </c>
      <c r="F26" s="15">
        <v>2.17</v>
      </c>
      <c r="G26" s="15">
        <v>8</v>
      </c>
      <c r="H26" s="15" t="s">
        <v>4</v>
      </c>
      <c r="I26" s="3" t="s">
        <v>154</v>
      </c>
      <c r="J26" s="15">
        <f t="shared" si="1"/>
        <v>698.08999999999992</v>
      </c>
      <c r="K26" s="15" t="s">
        <v>118</v>
      </c>
      <c r="L26" s="22" t="s">
        <v>36</v>
      </c>
      <c r="M26" s="16" t="s">
        <v>150</v>
      </c>
      <c r="N26" s="16"/>
    </row>
    <row r="27" spans="1:14" x14ac:dyDescent="0.3">
      <c r="A27" s="15">
        <f>IF(B27&lt;&gt;"",COUNTA($B$3:B27),"")</f>
        <v>25</v>
      </c>
      <c r="B27" s="13" t="s">
        <v>86</v>
      </c>
      <c r="C27" s="13" t="s">
        <v>60</v>
      </c>
      <c r="D27" s="15" t="s">
        <v>18</v>
      </c>
      <c r="E27" s="15">
        <v>174.99</v>
      </c>
      <c r="F27" s="15">
        <v>0</v>
      </c>
      <c r="G27" s="15">
        <v>1</v>
      </c>
      <c r="H27" s="15" t="s">
        <v>4</v>
      </c>
      <c r="I27" s="8" t="s">
        <v>85</v>
      </c>
      <c r="J27" s="15">
        <f t="shared" si="1"/>
        <v>174.99</v>
      </c>
      <c r="K27" s="15" t="s">
        <v>87</v>
      </c>
      <c r="L27" s="22" t="s">
        <v>10</v>
      </c>
      <c r="M27" s="16" t="s">
        <v>88</v>
      </c>
      <c r="N27" s="16"/>
    </row>
    <row r="28" spans="1:14" x14ac:dyDescent="0.3">
      <c r="A28" s="15">
        <f>IF(B28&lt;&gt;"",COUNTA($B$3:B28),"")</f>
        <v>26</v>
      </c>
      <c r="B28" s="13" t="s">
        <v>63</v>
      </c>
      <c r="C28" s="13" t="s">
        <v>64</v>
      </c>
      <c r="D28" s="15" t="s">
        <v>19</v>
      </c>
      <c r="E28" s="15">
        <v>31.9</v>
      </c>
      <c r="F28" s="15">
        <v>8.4700000000000006</v>
      </c>
      <c r="G28" s="15">
        <v>1</v>
      </c>
      <c r="H28" s="15" t="s">
        <v>4</v>
      </c>
      <c r="I28" s="8" t="s">
        <v>137</v>
      </c>
      <c r="J28" s="15">
        <f t="shared" si="1"/>
        <v>40.369999999999997</v>
      </c>
      <c r="K28" s="15" t="s">
        <v>136</v>
      </c>
      <c r="L28" s="22" t="s">
        <v>10</v>
      </c>
      <c r="M28" s="16" t="s">
        <v>138</v>
      </c>
      <c r="N28" s="16"/>
    </row>
    <row r="29" spans="1:14" x14ac:dyDescent="0.3">
      <c r="A29" s="15">
        <f>IF(B29&lt;&gt;"",COUNTA($B$3:B29),"")</f>
        <v>27</v>
      </c>
      <c r="B29" s="13" t="s">
        <v>61</v>
      </c>
      <c r="C29" s="13" t="s">
        <v>144</v>
      </c>
      <c r="D29" s="15" t="s">
        <v>28</v>
      </c>
      <c r="E29" s="15">
        <v>53.49</v>
      </c>
      <c r="F29" s="15">
        <v>0</v>
      </c>
      <c r="G29" s="15">
        <v>1</v>
      </c>
      <c r="H29" s="15" t="s">
        <v>4</v>
      </c>
      <c r="I29" s="8" t="s">
        <v>139</v>
      </c>
      <c r="J29" s="15">
        <f t="shared" si="1"/>
        <v>53.49</v>
      </c>
      <c r="K29" s="15" t="s">
        <v>89</v>
      </c>
      <c r="L29" s="22" t="s">
        <v>10</v>
      </c>
      <c r="M29" s="16" t="s">
        <v>140</v>
      </c>
      <c r="N29" s="16"/>
    </row>
    <row r="30" spans="1:14" x14ac:dyDescent="0.3">
      <c r="A30" s="15">
        <f>IF(B30&lt;&gt;"",COUNTA($B$3:B30),"")</f>
        <v>28</v>
      </c>
      <c r="B30" s="13" t="s">
        <v>62</v>
      </c>
      <c r="C30" s="13" t="s">
        <v>69</v>
      </c>
      <c r="D30" s="15" t="s">
        <v>25</v>
      </c>
      <c r="E30" s="15"/>
      <c r="F30" s="15"/>
      <c r="G30" s="15">
        <v>1</v>
      </c>
      <c r="H30" s="15" t="s">
        <v>4</v>
      </c>
      <c r="I30" s="3"/>
      <c r="J30" s="15">
        <f t="shared" si="1"/>
        <v>0</v>
      </c>
      <c r="K30" s="15"/>
      <c r="L30" s="22" t="s">
        <v>36</v>
      </c>
      <c r="M30" s="16"/>
      <c r="N30" s="16"/>
    </row>
    <row r="31" spans="1:14" x14ac:dyDescent="0.3">
      <c r="A31" s="15">
        <f>IF(B31&lt;&gt;"",COUNTA($B$3:B31),"")</f>
        <v>29</v>
      </c>
      <c r="B31" s="19" t="s">
        <v>102</v>
      </c>
      <c r="C31" s="19" t="s">
        <v>97</v>
      </c>
      <c r="D31" s="15" t="s">
        <v>25</v>
      </c>
      <c r="E31" s="21">
        <v>6.99</v>
      </c>
      <c r="F31" s="15"/>
      <c r="G31" s="15">
        <v>4</v>
      </c>
      <c r="H31" s="15" t="s">
        <v>4</v>
      </c>
      <c r="I31" s="20" t="s">
        <v>100</v>
      </c>
      <c r="J31" s="15">
        <f t="shared" ref="J31" si="2">(G31*E31)+F31</f>
        <v>27.96</v>
      </c>
      <c r="K31" s="15"/>
      <c r="L31" s="22" t="s">
        <v>36</v>
      </c>
      <c r="M31" s="16"/>
      <c r="N31" s="16"/>
    </row>
    <row r="32" spans="1:14" x14ac:dyDescent="0.3">
      <c r="A32" s="15">
        <f>IF(B32&lt;&gt;"",COUNTA($B$3:B32),"")</f>
        <v>30</v>
      </c>
      <c r="B32" s="19" t="s">
        <v>101</v>
      </c>
      <c r="C32" s="19" t="s">
        <v>98</v>
      </c>
      <c r="D32" s="15" t="s">
        <v>25</v>
      </c>
      <c r="E32" s="15">
        <v>7.19</v>
      </c>
      <c r="F32" s="15"/>
      <c r="G32" s="15">
        <v>2</v>
      </c>
      <c r="H32" s="15" t="s">
        <v>4</v>
      </c>
      <c r="I32" s="20" t="s">
        <v>99</v>
      </c>
      <c r="J32" s="15">
        <f t="shared" ref="J32" si="3">(G32*E32)+F32</f>
        <v>14.38</v>
      </c>
      <c r="K32" s="15"/>
      <c r="L32" s="22" t="s">
        <v>13</v>
      </c>
      <c r="M32" s="16"/>
      <c r="N32" s="16" t="s">
        <v>125</v>
      </c>
    </row>
    <row r="33" spans="1:14" x14ac:dyDescent="0.3">
      <c r="A33" s="15">
        <f>IF(B33&lt;&gt;"",COUNTA($B$3:B33),"")</f>
        <v>31</v>
      </c>
      <c r="B33" s="19" t="s">
        <v>103</v>
      </c>
      <c r="C33" s="19" t="s">
        <v>98</v>
      </c>
      <c r="D33" s="15" t="s">
        <v>25</v>
      </c>
      <c r="E33" s="15">
        <v>7.19</v>
      </c>
      <c r="F33" s="15"/>
      <c r="G33" s="15">
        <v>2</v>
      </c>
      <c r="H33" s="15" t="s">
        <v>4</v>
      </c>
      <c r="I33" s="20" t="s">
        <v>99</v>
      </c>
      <c r="J33" s="15">
        <f t="shared" ref="J33" si="4">(G33*E33)+F33</f>
        <v>14.38</v>
      </c>
      <c r="K33" s="15"/>
      <c r="L33" s="22" t="s">
        <v>13</v>
      </c>
      <c r="M33" s="16"/>
      <c r="N33" s="16" t="s">
        <v>125</v>
      </c>
    </row>
    <row r="34" spans="1:14" x14ac:dyDescent="0.3">
      <c r="A34" s="15">
        <f>IF(B34&lt;&gt;"",COUNTA($B$3:B34),"")</f>
        <v>32</v>
      </c>
      <c r="B34" s="19" t="s">
        <v>105</v>
      </c>
      <c r="C34" s="19" t="s">
        <v>106</v>
      </c>
      <c r="D34" s="15" t="s">
        <v>25</v>
      </c>
      <c r="E34" s="15">
        <v>4.8899999999999997</v>
      </c>
      <c r="F34" s="15"/>
      <c r="G34" s="15">
        <v>1</v>
      </c>
      <c r="H34" s="15" t="s">
        <v>4</v>
      </c>
      <c r="I34" s="20" t="s">
        <v>104</v>
      </c>
      <c r="J34" s="15">
        <f t="shared" ref="J34" si="5">(G34*E34)+F34</f>
        <v>4.8899999999999997</v>
      </c>
      <c r="K34" s="15"/>
      <c r="L34" s="22" t="s">
        <v>10</v>
      </c>
      <c r="M34" s="16"/>
      <c r="N34" s="16"/>
    </row>
    <row r="35" spans="1:14" x14ac:dyDescent="0.3">
      <c r="A35" s="15" t="str">
        <f>IF(B35&lt;&gt;"",COUNTA($B$3:B35),"")</f>
        <v/>
      </c>
      <c r="L35" s="22"/>
    </row>
    <row r="36" spans="1:14" x14ac:dyDescent="0.3">
      <c r="A36" s="15" t="str">
        <f>IF(B36&lt;&gt;"",COUNTA($B$3:B36),"")</f>
        <v/>
      </c>
      <c r="L36" s="22"/>
    </row>
    <row r="37" spans="1:14" x14ac:dyDescent="0.3">
      <c r="L37" s="22"/>
    </row>
    <row r="38" spans="1:14" x14ac:dyDescent="0.3">
      <c r="L38" s="22"/>
    </row>
    <row r="39" spans="1:14" x14ac:dyDescent="0.3">
      <c r="L39" s="22"/>
    </row>
    <row r="40" spans="1:14" x14ac:dyDescent="0.3">
      <c r="L40" s="22"/>
    </row>
    <row r="41" spans="1:14" x14ac:dyDescent="0.3">
      <c r="L41" s="22"/>
    </row>
  </sheetData>
  <autoFilter ref="A2:N34" xr:uid="{0E734346-BCBC-4D9C-B399-F93315446069}"/>
  <mergeCells count="1">
    <mergeCell ref="F7:F8"/>
  </mergeCells>
  <phoneticPr fontId="6" type="noConversion"/>
  <conditionalFormatting sqref="L3:L6 L10:L12 L15:L26 L28:L41">
    <cfRule type="containsText" dxfId="7" priority="1" operator="containsText" text="pending">
      <formula>NOT(ISERROR(SEARCH("pending",L3)))</formula>
    </cfRule>
    <cfRule type="expression" priority="7">
      <formula>$B2="approved"</formula>
    </cfRule>
  </conditionalFormatting>
  <conditionalFormatting sqref="L3:L41">
    <cfRule type="containsText" dxfId="6" priority="3" operator="containsText" text="approved">
      <formula>NOT(ISERROR(SEARCH("approved",L3)))</formula>
    </cfRule>
    <cfRule type="containsText" dxfId="5" priority="4" operator="containsText" text="ordered">
      <formula>NOT(ISERROR(SEARCH("ordered",L3)))</formula>
    </cfRule>
    <cfRule type="containsText" dxfId="4" priority="5" operator="containsText" text="rejected">
      <formula>NOT(ISERROR(SEARCH("rejected",L3)))</formula>
    </cfRule>
    <cfRule type="containsText" dxfId="3" priority="6" operator="containsText" text="received">
      <formula>NOT(ISERROR(SEARCH("received",L3)))</formula>
    </cfRule>
  </conditionalFormatting>
  <conditionalFormatting sqref="L4:L41">
    <cfRule type="expression" priority="9">
      <formula>#REF!="approved"</formula>
    </cfRule>
  </conditionalFormatting>
  <conditionalFormatting sqref="L6">
    <cfRule type="expression" priority="19">
      <formula>$B7="approved"</formula>
    </cfRule>
  </conditionalFormatting>
  <conditionalFormatting sqref="L6:L9">
    <cfRule type="containsText" dxfId="2" priority="12" operator="containsText" text="pending">
      <formula>NOT(ISERROR(SEARCH("pending",L6)))</formula>
    </cfRule>
  </conditionalFormatting>
  <conditionalFormatting sqref="L7">
    <cfRule type="expression" priority="17">
      <formula>$B5="approved"</formula>
    </cfRule>
  </conditionalFormatting>
  <conditionalFormatting sqref="L12:L13">
    <cfRule type="expression" priority="27">
      <formula>$B10="approved"</formula>
    </cfRule>
  </conditionalFormatting>
  <conditionalFormatting sqref="L12:L14">
    <cfRule type="containsText" dxfId="1" priority="22" operator="containsText" text="pending">
      <formula>NOT(ISERROR(SEARCH("pending",L12)))</formula>
    </cfRule>
  </conditionalFormatting>
  <conditionalFormatting sqref="L14">
    <cfRule type="expression" priority="23">
      <formula>$B11="approved"</formula>
    </cfRule>
  </conditionalFormatting>
  <conditionalFormatting sqref="L27">
    <cfRule type="containsText" dxfId="0" priority="30" operator="containsText" text="pending">
      <formula>NOT(ISERROR(SEARCH("pending",L27)))</formula>
    </cfRule>
    <cfRule type="expression" priority="31">
      <formula>$B25="approved"</formula>
    </cfRule>
  </conditionalFormatting>
  <hyperlinks>
    <hyperlink ref="I4" r:id="rId1" display="https://3dprintx.bg/magazin/pa6-cf-with-spool-cherno-bambu-lab/?gad_source=1&amp;gad_campaignid=23369295043&amp;gbraid=0AAAABBeApTZEPbIRHor7bJZ92Gq7vT3lv&amp;gclid=CjwKCAjwxITRBhBYEiwA6mZm7bCe5kvsvoz_znE0dv8i7YoYQrUSTdOaCQ7RKckeGywr-XLrI4hECRoCo7MQAvD_BwE" xr:uid="{45F219EB-CA0E-46B2-B5AC-321500547349}"/>
    <hyperlink ref="I5" r:id="rId2" xr:uid="{29AE6930-3CFD-49FA-8C77-A431B4331D49}"/>
    <hyperlink ref="I6" r:id="rId3" xr:uid="{3002E511-E2F5-4C78-B094-E6DD7CF3B671}"/>
    <hyperlink ref="I7" r:id="rId4" xr:uid="{46C8B073-4590-4C63-B6E5-2A03FB1E94E6}"/>
    <hyperlink ref="I8" r:id="rId5" xr:uid="{7085C41A-4F68-4A70-A26C-EBBC546A59EE}"/>
    <hyperlink ref="I27" r:id="rId6" xr:uid="{AC3997AD-8B71-448A-BCF4-2A0239242A9A}"/>
    <hyperlink ref="I20" r:id="rId7" display="https://www.aliexpress.com/item/1005003122596249.html?spm=a2g0o.productlist.main.23.70394477bJf9UQ&amp;algo_pvid=169d2b7f-426b-4582-b7f2-1a69c234abe7&amp;algo_exp_id=169d2b7f-426b-4582-b7f2-1a69c234abe7-20&amp;pdp_ext_f=%7B%22order%22%3A%222145%22%2C%22eval%22%3A%221%22%2C%22fromPage%22%3A%22search%22%7D&amp;pdp_npi=6%40dis%21EUR%217.69%215.92%21%21%218.62%216.64%21%400b8848e317897611280765333e0f49%2112000024217621966%21sea%21BG%210%21ABX%211%210%21n_tag%3A-29910%3Bd%3Abb4150ed%3Bm03_new_user%3A-29895%3BpisId%3A5000000217831009&amp;curPageLogUid=7PGL6jiPmM9H&amp;utparam-url=scene%3Asearch%7Cquery_from%3A%7Cx_object_id%3A1005003122596249%7C_p_origin_prod%3A" xr:uid="{93C2ADC8-BF07-46BD-B25F-9FBD4C8B46B2}"/>
    <hyperlink ref="I17" r:id="rId8" xr:uid="{1F742A85-6E5F-4512-8BB8-6CC598E9162E}"/>
    <hyperlink ref="I13" r:id="rId9" xr:uid="{B0912176-1BFC-47C4-867E-D85D256F8603}"/>
    <hyperlink ref="I29" r:id="rId10" xr:uid="{3AECD8FD-6096-4901-AEEF-DC9E9AE3F865}"/>
    <hyperlink ref="I18" r:id="rId11" xr:uid="{30E523F4-0E2C-E84E-9D0D-066E220B225B}"/>
    <hyperlink ref="I28" r:id="rId12" xr:uid="{DF01E1B8-4C36-3941-8DBE-C7B5EC78E2CC}"/>
    <hyperlink ref="I14" r:id="rId13" xr:uid="{916D9918-7FAC-AB46-AC5F-CFFCC8216EB8}"/>
  </hyperlinks>
  <pageMargins left="0.7" right="0.7" top="0.75" bottom="0.75" header="0.3" footer="0.3"/>
  <pageSetup paperSize="9" orientation="portrait" r:id="rId1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E04927-DBCA-4F6B-BC5C-6D6442D07CEA}">
          <x14:formula1>
            <xm:f>Background_info!$D$3:$D$30</xm:f>
          </x14:formula1>
          <xm:sqref>D3:D34</xm:sqref>
        </x14:dataValidation>
        <x14:dataValidation type="list" allowBlank="1" showInputMessage="1" showErrorMessage="1" xr:uid="{0CED9412-699B-4C7D-965B-005ACFAE9885}">
          <x14:formula1>
            <xm:f>Background_info!$C$3:$C$15</xm:f>
          </x14:formula1>
          <xm:sqref>L3:L41</xm:sqref>
        </x14:dataValidation>
        <x14:dataValidation type="list" allowBlank="1" showInputMessage="1" showErrorMessage="1" xr:uid="{4580CAC9-FAF7-403B-A1D9-84CB43CB97A9}">
          <x14:formula1>
            <xm:f>Background_info!$B$3:$B$7</xm:f>
          </x14:formula1>
          <xm:sqref>H3:H34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02BA-A80C-4BEA-8ECF-F81C395286C3}">
  <dimension ref="A1:G14"/>
  <sheetViews>
    <sheetView workbookViewId="0">
      <selection activeCell="C4" sqref="C4"/>
    </sheetView>
  </sheetViews>
  <sheetFormatPr defaultColWidth="8.88671875" defaultRowHeight="14.4" x14ac:dyDescent="0.3"/>
  <cols>
    <col min="1" max="1" width="33" bestFit="1" customWidth="1"/>
    <col min="2" max="2" width="9.6640625" bestFit="1" customWidth="1"/>
  </cols>
  <sheetData>
    <row r="1" spans="1:7" x14ac:dyDescent="0.3">
      <c r="B1" t="str" cm="1">
        <f t="array" ref="B1:F1">TRANSPOSE(Background_info!C3:C7)</f>
        <v>pending</v>
      </c>
      <c r="C1" t="str">
        <v>approved</v>
      </c>
      <c r="D1" t="str">
        <v>ordered</v>
      </c>
      <c r="E1" t="str">
        <v>received</v>
      </c>
      <c r="F1" t="str">
        <v>rejected</v>
      </c>
    </row>
    <row r="2" spans="1:7" x14ac:dyDescent="0.3">
      <c r="A2" t="s">
        <v>141</v>
      </c>
      <c r="B2" s="30">
        <f>SUM(B3:B14)</f>
        <v>763.17</v>
      </c>
      <c r="C2" s="30">
        <f t="shared" ref="C2:F2" si="0">SUM(C3:C14)</f>
        <v>1207.75</v>
      </c>
      <c r="D2" s="30">
        <f t="shared" si="0"/>
        <v>0</v>
      </c>
      <c r="E2" s="30">
        <f t="shared" si="0"/>
        <v>120.78</v>
      </c>
      <c r="F2" s="30">
        <f t="shared" si="0"/>
        <v>421.83</v>
      </c>
      <c r="G2" s="29">
        <f>SUM(B2:F2)</f>
        <v>2513.5300000000002</v>
      </c>
    </row>
    <row r="3" spans="1:7" x14ac:dyDescent="0.3">
      <c r="A3" t="str" cm="1">
        <f t="array" ref="A3:A14">Background_info!D3:D14</f>
        <v>Airframe and Structures</v>
      </c>
      <c r="B3">
        <f>SUMIFS(Main_Table!$J:$J,Main_Table!$D:$D,$A3,Main_Table!$L:$L,B$1)</f>
        <v>0</v>
      </c>
      <c r="C3">
        <f>SUMIFS(Main_Table!$J:$J,Main_Table!$D:$D,$A3,Main_Table!$L:$L,C$1)</f>
        <v>169.29</v>
      </c>
      <c r="D3">
        <f>SUMIFS(Main_Table!$J:$J,Main_Table!$D:$D,$A3,Main_Table!$L:$L,D$1)</f>
        <v>0</v>
      </c>
      <c r="E3">
        <f>SUMIFS(Main_Table!$J:$J,Main_Table!$D:$D,$A3,Main_Table!$L:$L,E$1)</f>
        <v>51.28</v>
      </c>
      <c r="F3">
        <f>SUMIFS(Main_Table!$J:$J,Main_Table!$D:$D,$A3,Main_Table!$L:$L,F$1)</f>
        <v>0</v>
      </c>
    </row>
    <row r="4" spans="1:7" x14ac:dyDescent="0.3">
      <c r="A4" t="str">
        <v>Propulsion</v>
      </c>
      <c r="B4">
        <f>SUMIFS(Main_Table!$J:$J,Main_Table!$D:$D,$A4,Main_Table!$L:$L,B$1)</f>
        <v>0</v>
      </c>
      <c r="C4">
        <f>SUMIFS(Main_Table!$J:$J,Main_Table!$D:$D,$A4,Main_Table!$L:$L,C$1)</f>
        <v>430.19000000000005</v>
      </c>
      <c r="D4">
        <f>SUMIFS(Main_Table!$J:$J,Main_Table!$D:$D,$A4,Main_Table!$L:$L,D$1)</f>
        <v>0</v>
      </c>
      <c r="E4">
        <f>SUMIFS(Main_Table!$J:$J,Main_Table!$D:$D,$A4,Main_Table!$L:$L,E$1)</f>
        <v>0</v>
      </c>
      <c r="F4">
        <f>SUMIFS(Main_Table!$J:$J,Main_Table!$D:$D,$A4,Main_Table!$L:$L,F$1)</f>
        <v>0</v>
      </c>
    </row>
    <row r="5" spans="1:7" x14ac:dyDescent="0.3">
      <c r="A5" t="str">
        <v>Power</v>
      </c>
      <c r="B5">
        <f>SUMIFS(Main_Table!$J:$J,Main_Table!$D:$D,$A5,Main_Table!$L:$L,B$1)</f>
        <v>0</v>
      </c>
      <c r="C5">
        <f>SUMIFS(Main_Table!$J:$J,Main_Table!$D:$D,$A5,Main_Table!$L:$L,C$1)</f>
        <v>248.94</v>
      </c>
      <c r="D5">
        <f>SUMIFS(Main_Table!$J:$J,Main_Table!$D:$D,$A5,Main_Table!$L:$L,D$1)</f>
        <v>0</v>
      </c>
      <c r="E5">
        <f>SUMIFS(Main_Table!$J:$J,Main_Table!$D:$D,$A5,Main_Table!$L:$L,E$1)</f>
        <v>0</v>
      </c>
      <c r="F5">
        <f>SUMIFS(Main_Table!$J:$J,Main_Table!$D:$D,$A5,Main_Table!$L:$L,F$1)</f>
        <v>393.07</v>
      </c>
    </row>
    <row r="6" spans="1:7" x14ac:dyDescent="0.3">
      <c r="A6" t="str">
        <v>Flight Control and Avionics</v>
      </c>
      <c r="B6">
        <f>SUMIFS(Main_Table!$J:$J,Main_Table!$D:$D,$A6,Main_Table!$L:$L,B$1)</f>
        <v>726.05</v>
      </c>
      <c r="C6">
        <f>SUMIFS(Main_Table!$J:$J,Main_Table!$D:$D,$A6,Main_Table!$L:$L,C$1)</f>
        <v>244.85</v>
      </c>
      <c r="D6">
        <f>SUMIFS(Main_Table!$J:$J,Main_Table!$D:$D,$A6,Main_Table!$L:$L,D$1)</f>
        <v>0</v>
      </c>
      <c r="E6">
        <f>SUMIFS(Main_Table!$J:$J,Main_Table!$D:$D,$A6,Main_Table!$L:$L,E$1)</f>
        <v>0</v>
      </c>
      <c r="F6">
        <f>SUMIFS(Main_Table!$J:$J,Main_Table!$D:$D,$A6,Main_Table!$L:$L,F$1)</f>
        <v>28.76</v>
      </c>
    </row>
    <row r="7" spans="1:7" x14ac:dyDescent="0.3">
      <c r="A7" t="str">
        <v>Control Surfaces and Mechanisms</v>
      </c>
      <c r="B7">
        <f>SUMIFS(Main_Table!$J:$J,Main_Table!$D:$D,$A7,Main_Table!$L:$L,B$1)</f>
        <v>0</v>
      </c>
      <c r="C7">
        <f>SUMIFS(Main_Table!$J:$J,Main_Table!$D:$D,$A7,Main_Table!$L:$L,C$1)</f>
        <v>0</v>
      </c>
      <c r="D7">
        <f>SUMIFS(Main_Table!$J:$J,Main_Table!$D:$D,$A7,Main_Table!$L:$L,D$1)</f>
        <v>0</v>
      </c>
      <c r="E7">
        <f>SUMIFS(Main_Table!$J:$J,Main_Table!$D:$D,$A7,Main_Table!$L:$L,E$1)</f>
        <v>0</v>
      </c>
      <c r="F7">
        <f>SUMIFS(Main_Table!$J:$J,Main_Table!$D:$D,$A7,Main_Table!$L:$L,F$1)</f>
        <v>0</v>
      </c>
    </row>
    <row r="8" spans="1:7" x14ac:dyDescent="0.3">
      <c r="A8" t="str">
        <v>Payload and Medical Transport System</v>
      </c>
      <c r="B8">
        <f>SUMIFS(Main_Table!$J:$J,Main_Table!$D:$D,$A8,Main_Table!$L:$L,B$1)</f>
        <v>0</v>
      </c>
      <c r="C8">
        <f>SUMIFS(Main_Table!$J:$J,Main_Table!$D:$D,$A8,Main_Table!$L:$L,C$1)</f>
        <v>0</v>
      </c>
      <c r="D8">
        <f>SUMIFS(Main_Table!$J:$J,Main_Table!$D:$D,$A8,Main_Table!$L:$L,D$1)</f>
        <v>0</v>
      </c>
      <c r="E8">
        <f>SUMIFS(Main_Table!$J:$J,Main_Table!$D:$D,$A8,Main_Table!$L:$L,E$1)</f>
        <v>0</v>
      </c>
      <c r="F8">
        <f>SUMIFS(Main_Table!$J:$J,Main_Table!$D:$D,$A8,Main_Table!$L:$L,F$1)</f>
        <v>0</v>
      </c>
    </row>
    <row r="9" spans="1:7" x14ac:dyDescent="0.3">
      <c r="A9" t="str">
        <v>Communications and Ground Equipment</v>
      </c>
      <c r="B9">
        <f>SUMIFS(Main_Table!$J:$J,Main_Table!$D:$D,$A9,Main_Table!$L:$L,B$1)</f>
        <v>0</v>
      </c>
      <c r="C9">
        <f>SUMIFS(Main_Table!$J:$J,Main_Table!$D:$D,$A9,Main_Table!$L:$L,C$1)</f>
        <v>53.49</v>
      </c>
      <c r="D9">
        <f>SUMIFS(Main_Table!$J:$J,Main_Table!$D:$D,$A9,Main_Table!$L:$L,D$1)</f>
        <v>0</v>
      </c>
      <c r="E9">
        <f>SUMIFS(Main_Table!$J:$J,Main_Table!$D:$D,$A9,Main_Table!$L:$L,E$1)</f>
        <v>0</v>
      </c>
      <c r="F9">
        <f>SUMIFS(Main_Table!$J:$J,Main_Table!$D:$D,$A9,Main_Table!$L:$L,F$1)</f>
        <v>0</v>
      </c>
    </row>
    <row r="10" spans="1:7" x14ac:dyDescent="0.3">
      <c r="A10" t="str">
        <v>Manufacturing and prototyping</v>
      </c>
      <c r="B10">
        <f>SUMIFS(Main_Table!$J:$J,Main_Table!$D:$D,$A10,Main_Table!$L:$L,B$1)</f>
        <v>0</v>
      </c>
      <c r="C10">
        <f>SUMIFS(Main_Table!$J:$J,Main_Table!$D:$D,$A10,Main_Table!$L:$L,C$1)</f>
        <v>43.2</v>
      </c>
      <c r="D10">
        <f>SUMIFS(Main_Table!$J:$J,Main_Table!$D:$D,$A10,Main_Table!$L:$L,D$1)</f>
        <v>0</v>
      </c>
      <c r="E10">
        <f>SUMIFS(Main_Table!$J:$J,Main_Table!$D:$D,$A10,Main_Table!$L:$L,E$1)</f>
        <v>69.5</v>
      </c>
      <c r="F10">
        <f>SUMIFS(Main_Table!$J:$J,Main_Table!$D:$D,$A10,Main_Table!$L:$L,F$1)</f>
        <v>0</v>
      </c>
    </row>
    <row r="11" spans="1:7" x14ac:dyDescent="0.3">
      <c r="A11" t="str">
        <v>Fasteners and Consumables</v>
      </c>
      <c r="B11">
        <f>SUMIFS(Main_Table!$J:$J,Main_Table!$D:$D,$A11,Main_Table!$L:$L,B$1)</f>
        <v>37.120000000000005</v>
      </c>
      <c r="C11">
        <f>SUMIFS(Main_Table!$J:$J,Main_Table!$D:$D,$A11,Main_Table!$L:$L,C$1)</f>
        <v>17.79</v>
      </c>
      <c r="D11">
        <f>SUMIFS(Main_Table!$J:$J,Main_Table!$D:$D,$A11,Main_Table!$L:$L,D$1)</f>
        <v>0</v>
      </c>
      <c r="E11">
        <f>SUMIFS(Main_Table!$J:$J,Main_Table!$D:$D,$A11,Main_Table!$L:$L,E$1)</f>
        <v>0</v>
      </c>
      <c r="F11">
        <f>SUMIFS(Main_Table!$J:$J,Main_Table!$D:$D,$A11,Main_Table!$L:$L,F$1)</f>
        <v>0</v>
      </c>
    </row>
    <row r="12" spans="1:7" x14ac:dyDescent="0.3">
      <c r="A12" t="str">
        <v>Testing and Safety Equipment</v>
      </c>
      <c r="B12">
        <f>SUMIFS(Main_Table!$J:$J,Main_Table!$D:$D,$A12,Main_Table!$L:$L,B$1)</f>
        <v>0</v>
      </c>
      <c r="C12">
        <f>SUMIFS(Main_Table!$J:$J,Main_Table!$D:$D,$A12,Main_Table!$L:$L,C$1)</f>
        <v>0</v>
      </c>
      <c r="D12">
        <f>SUMIFS(Main_Table!$J:$J,Main_Table!$D:$D,$A12,Main_Table!$L:$L,D$1)</f>
        <v>0</v>
      </c>
      <c r="E12">
        <f>SUMIFS(Main_Table!$J:$J,Main_Table!$D:$D,$A12,Main_Table!$L:$L,E$1)</f>
        <v>0</v>
      </c>
      <c r="F12">
        <f>SUMIFS(Main_Table!$J:$J,Main_Table!$D:$D,$A12,Main_Table!$L:$L,F$1)</f>
        <v>0</v>
      </c>
    </row>
    <row r="13" spans="1:7" x14ac:dyDescent="0.3">
      <c r="A13" t="str">
        <v>Business</v>
      </c>
      <c r="B13">
        <f>SUMIFS(Main_Table!$J:$J,Main_Table!$D:$D,$A13,Main_Table!$L:$L,B$1)</f>
        <v>0</v>
      </c>
      <c r="C13">
        <f>SUMIFS(Main_Table!$J:$J,Main_Table!$D:$D,$A13,Main_Table!$L:$L,C$1)</f>
        <v>0</v>
      </c>
      <c r="D13">
        <f>SUMIFS(Main_Table!$J:$J,Main_Table!$D:$D,$A13,Main_Table!$L:$L,D$1)</f>
        <v>0</v>
      </c>
      <c r="E13">
        <f>SUMIFS(Main_Table!$J:$J,Main_Table!$D:$D,$A13,Main_Table!$L:$L,E$1)</f>
        <v>0</v>
      </c>
      <c r="F13">
        <f>SUMIFS(Main_Table!$J:$J,Main_Table!$D:$D,$A13,Main_Table!$L:$L,F$1)</f>
        <v>0</v>
      </c>
    </row>
    <row r="14" spans="1:7" x14ac:dyDescent="0.3">
      <c r="A14" t="str">
        <v>Other</v>
      </c>
      <c r="B14">
        <f>SUMIFS(Main_Table!$J:$J,Main_Table!$D:$D,$A14,Main_Table!$L:$L,B$1)</f>
        <v>0</v>
      </c>
      <c r="C14">
        <f>SUMIFS(Main_Table!$J:$J,Main_Table!$D:$D,$A14,Main_Table!$L:$L,C$1)</f>
        <v>0</v>
      </c>
      <c r="D14">
        <f>SUMIFS(Main_Table!$J:$J,Main_Table!$D:$D,$A14,Main_Table!$L:$L,D$1)</f>
        <v>0</v>
      </c>
      <c r="E14">
        <f>SUMIFS(Main_Table!$J:$J,Main_Table!$D:$D,$A14,Main_Table!$L:$L,E$1)</f>
        <v>0</v>
      </c>
      <c r="F14">
        <f>SUMIFS(Main_Table!$J:$J,Main_Table!$D:$D,$A14,Main_Table!$L:$L,F$1)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Background_info</vt:lpstr>
      <vt:lpstr>Main_Table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Nikolov, Aleksandar</dc:creator>
  <cp:lastModifiedBy>Nikolov, Aleksandar</cp:lastModifiedBy>
  <dcterms:created xsi:type="dcterms:W3CDTF">2026-06-04T17:17:53Z</dcterms:created>
  <dcterms:modified xsi:type="dcterms:W3CDTF">2026-09-27T15:49:29Z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116a5-35f0-4733-81bd-339106ca795f_Enabled">
    <vt:lpwstr>true</vt:lpwstr>
  </property>
  <property fmtid="{D5CDD505-2E9C-101B-9397-08002B2CF9AE}" pid="3" name="MSIP_Label_dad116a5-35f0-4733-81bd-339106ca795f_SetDate">
    <vt:lpwstr>2026-06-04T18:16:49Z</vt:lpwstr>
  </property>
  <property fmtid="{D5CDD505-2E9C-101B-9397-08002B2CF9AE}" pid="4" name="MSIP_Label_dad116a5-35f0-4733-81bd-339106ca795f_Method">
    <vt:lpwstr>Standard</vt:lpwstr>
  </property>
  <property fmtid="{D5CDD505-2E9C-101B-9397-08002B2CF9AE}" pid="5" name="MSIP_Label_dad116a5-35f0-4733-81bd-339106ca795f_Name">
    <vt:lpwstr>Sensata Internal</vt:lpwstr>
  </property>
  <property fmtid="{D5CDD505-2E9C-101B-9397-08002B2CF9AE}" pid="6" name="MSIP_Label_dad116a5-35f0-4733-81bd-339106ca795f_SiteId">
    <vt:lpwstr>8fe11266-3a2b-494f-b7ce-92bc201dc2ab</vt:lpwstr>
  </property>
  <property fmtid="{D5CDD505-2E9C-101B-9397-08002B2CF9AE}" pid="7" name="MSIP_Label_dad116a5-35f0-4733-81bd-339106ca795f_ActionId">
    <vt:lpwstr>64e217ca-fdbf-4c7a-8c53-c0ca3c81a4f5</vt:lpwstr>
  </property>
  <property fmtid="{D5CDD505-2E9C-101B-9397-08002B2CF9AE}" pid="8" name="MSIP_Label_dad116a5-35f0-4733-81bd-339106ca795f_ContentBits">
    <vt:lpwstr>0</vt:lpwstr>
  </property>
  <property fmtid="{D5CDD505-2E9C-101B-9397-08002B2CF9AE}" pid="9" name="MSIP_Label_dad116a5-35f0-4733-81bd-339106ca795f_Tag">
    <vt:lpwstr>10, 3, 0, 1</vt:lpwstr>
  </property>
</Properties>
</file>