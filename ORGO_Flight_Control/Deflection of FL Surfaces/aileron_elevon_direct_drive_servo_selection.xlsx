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nes\ORGOfly-CAD-model\1_ORGO-15_P1\1_CAD_model\ORGO_Flight_Control\Aileron Deflection\"/>
    </mc:Choice>
  </mc:AlternateContent>
  <xr:revisionPtr revIDLastSave="0" documentId="13_ncr:1_{65A7D926-9FE4-4B5C-9C0B-9283375F3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Requirements" sheetId="2" r:id="rId2"/>
    <sheet name="Direct_Drive_Servos" sheetId="3" r:id="rId3"/>
    <sheet name="Power_Wiring" sheetId="4" r:id="rId4"/>
    <sheet name="Design_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  <c r="L8" i="3"/>
  <c r="L7" i="3"/>
  <c r="L6" i="3"/>
  <c r="L5" i="3"/>
  <c r="L4" i="3"/>
  <c r="F5" i="2"/>
  <c r="F4" i="2"/>
  <c r="D14" i="1"/>
</calcChain>
</file>

<file path=xl/sharedStrings.xml><?xml version="1.0" encoding="utf-8"?>
<sst xmlns="http://schemas.openxmlformats.org/spreadsheetml/2006/main" count="159" uniqueCount="148">
  <si>
    <t>Direct-Drive Servo Selection — Aileron and Elevon</t>
  </si>
  <si>
    <t>Design assumption</t>
  </si>
  <si>
    <t>No external servo arm / pushrod / surface horn mechanical advantage.</t>
  </si>
  <si>
    <t>Implication</t>
  </si>
  <si>
    <t>Servo output torque must directly meet the hinge design torque.</t>
  </si>
  <si>
    <t>Aileron direct-drive requirement</t>
  </si>
  <si>
    <t>4.195 Nm = 42.8 kg·cm at 24 m/s, 20° deflection, SF=3, η=0.90.</t>
  </si>
  <si>
    <t>Elevon direct-drive requirement</t>
  </si>
  <si>
    <t>4.781 Nm = 48.8 kg·cm at 24 m/s, 20° deflection, SF=3, η=0.90.</t>
  </si>
  <si>
    <t>Controlling case</t>
  </si>
  <si>
    <t>Elevon, because it requires 48.8 kg·cm.</t>
  </si>
  <si>
    <t>Minimum recommended servo rating</t>
  </si>
  <si>
    <t>≥60 kg·cm at 8.4V for practical margin; avoid ≤50 kg·cm for elevon direct drive.</t>
  </si>
  <si>
    <t>Recommended servo</t>
  </si>
  <si>
    <t>AGFRC A66FHLW low-profile 60 kg·cm servo, if 20.2 mm thickness and 29.5 mm height fit the CAD.</t>
  </si>
  <si>
    <t>Power recommendation</t>
  </si>
  <si>
    <t>Use a dedicated HV UBEC set to 8.4V; do not run these servos from the FC/PDB 5V rail.</t>
  </si>
  <si>
    <t>Mechanical warning</t>
  </si>
  <si>
    <t>No external arm is okay, but a spline-to-pin coupler/torque insert is still required. Do not use the servo shaft as the main structural hinge bearing.</t>
  </si>
  <si>
    <t>Final Direct-Drive Recommendation</t>
  </si>
  <si>
    <t>Qty</t>
  </si>
  <si>
    <t>Unit price</t>
  </si>
  <si>
    <t>Est. total</t>
  </si>
  <si>
    <t>Voltage</t>
  </si>
  <si>
    <t>Torque</t>
  </si>
  <si>
    <t>Size</t>
  </si>
  <si>
    <t>Reason</t>
  </si>
  <si>
    <t>AGFRC A66FHLW</t>
  </si>
  <si>
    <t>8.4V</t>
  </si>
  <si>
    <t>60 kg·cm</t>
  </si>
  <si>
    <t>40.8 × 20.2 × 29.5 mm</t>
  </si>
  <si>
    <t>Only low-profile option found with enough direct-drive margin for both aileron and elevon.</t>
  </si>
  <si>
    <t>Hobbywing UBEC 25A HV</t>
  </si>
  <si>
    <t>3–18S input; 5.0/6.0/7.4/8.4V output</t>
  </si>
  <si>
    <t>25A continuous / 50A peak</t>
  </si>
  <si>
    <t>Dedicated 8.4V servo rail for four high-torque servos.</t>
  </si>
  <si>
    <t>Mechanical Load Basis</t>
  </si>
  <si>
    <t>Surface</t>
  </si>
  <si>
    <t>Worst case deflection</t>
  </si>
  <si>
    <t>Design speed</t>
  </si>
  <si>
    <t>Hinge moment conservative</t>
  </si>
  <si>
    <t>Direct-drive design torque</t>
  </si>
  <si>
    <t>Equivalent kg·cm</t>
  </si>
  <si>
    <t>Pin recommendation</t>
  </si>
  <si>
    <t>Source basis</t>
  </si>
  <si>
    <t>Aileron</t>
  </si>
  <si>
    <t>20°</t>
  </si>
  <si>
    <t>24 m/s</t>
  </si>
  <si>
    <t>1.258 Nm</t>
  </si>
  <si>
    <t>6 mm × 30 mm minimum; 8 mm preferred</t>
  </si>
  <si>
    <t>User aileron direct-drive pin calculation PDF</t>
  </si>
  <si>
    <t>Elevon</t>
  </si>
  <si>
    <t>1.434 Nm</t>
  </si>
  <si>
    <t>7 mm × 30 mm minimum; 8 mm preferred</t>
  </si>
  <si>
    <t>User elevon direct-drive pin calculation PDF</t>
  </si>
  <si>
    <t>Direct-Drive Servo Options</t>
  </si>
  <si>
    <t>Rank</t>
  </si>
  <si>
    <t>Servo</t>
  </si>
  <si>
    <t>Direct-drive verdict</t>
  </si>
  <si>
    <t>Torque @8.4V kg·cm</t>
  </si>
  <si>
    <t>Torque @7.4V kg·cm</t>
  </si>
  <si>
    <t>Thickness / width mm</t>
  </si>
  <si>
    <t>Height mm</t>
  </si>
  <si>
    <t>Length mm</t>
  </si>
  <si>
    <t>Weight g</t>
  </si>
  <si>
    <t>Approx. price</t>
  </si>
  <si>
    <t>Margin vs elevon</t>
  </si>
  <si>
    <t>Pros</t>
  </si>
  <si>
    <t>Cons / Risk</t>
  </si>
  <si>
    <t>Source URL</t>
  </si>
  <si>
    <t>Recommended</t>
  </si>
  <si>
    <t>4.8–8.4V</t>
  </si>
  <si>
    <t>US$128.99 / ~€135</t>
  </si>
  <si>
    <t>Best direct-drive slim/low-profile fit; brushless; steel gears; aluminum case; IP67.</t>
  </si>
  <si>
    <t>Still only 1.23× over calculated elevon design torque; requires rigid coupler and strong bearing support.</t>
  </si>
  <si>
    <t>https://www.agfrc.com/index.php?id=2747</t>
  </si>
  <si>
    <t>AGFRC A86BHM</t>
  </si>
  <si>
    <t>Acceptable but not slim</t>
  </si>
  <si>
    <t>US$94.99</t>
  </si>
  <si>
    <t>Cheaper than A66FHLW; clears elevon at 8.4V.</t>
  </si>
  <si>
    <t>Standard-height 41.5 mm body; margin is only 1.13×; less attractive for a thin wing/tail.</t>
  </si>
  <si>
    <t>https://www.agfrc.com/index.php?id=2472</t>
  </si>
  <si>
    <t>JX PDI-HV2060MG</t>
  </si>
  <si>
    <t>Torque OK, physically poor</t>
  </si>
  <si>
    <t>6.0–7.4V</t>
  </si>
  <si>
    <t>~€45–50</t>
  </si>
  <si>
    <t>Cheap and enough torque at 7.4V.</t>
  </si>
  <si>
    <t>Very large and heavy; not a slim aircraft-control-surface servo; lower confidence for flight-critical direct drive.</t>
  </si>
  <si>
    <t>https://servodatabase.com/servo/jx-servo/pdi-hv2060mg</t>
  </si>
  <si>
    <t>Chaservo HV4613</t>
  </si>
  <si>
    <t>Borderline</t>
  </si>
  <si>
    <t>6.0–8.4V</t>
  </si>
  <si>
    <t>€84.90</t>
  </si>
  <si>
    <t>20 mm class and close to required torque.</t>
  </si>
  <si>
    <t>Only ~1.02× over elevon requirement on paper; not enough practical margin for direct drive.</t>
  </si>
  <si>
    <t>https://www.voltmaster.de/HV4613-HV-Servo-20mm-50-kg</t>
  </si>
  <si>
    <t>Savox SV-1270TG+</t>
  </si>
  <si>
    <t>Not enough for elevon direct drive</t>
  </si>
  <si>
    <t>~€76</t>
  </si>
  <si>
    <t>Quality brand; compact standard-size body; good if you reduce loads or add mechanical advantage.</t>
  </si>
  <si>
    <t>Below calculated elevon direct-drive requirement and only barely above aileron requirement.</t>
  </si>
  <si>
    <t>https://savox-servo.com/en/product/SV-1270TGplus/</t>
  </si>
  <si>
    <t>MKS / KST 10–20 kg·cm slim wing servos</t>
  </si>
  <si>
    <t>Reject for direct drive</t>
  </si>
  <si>
    <t>HV</t>
  </si>
  <si>
    <t>Varies</t>
  </si>
  <si>
    <t>Physically slim and aircraft-oriented.</t>
  </si>
  <si>
    <t>Insufficient torque for direct drive; only suitable with linkage/mechanical advantage.</t>
  </si>
  <si>
    <t>Servo Power and Wiring for Direct Drive</t>
  </si>
  <si>
    <t>Component</t>
  </si>
  <si>
    <t>Role</t>
  </si>
  <si>
    <t>Recommended setting</t>
  </si>
  <si>
    <t>Compatibility</t>
  </si>
  <si>
    <t>Dedicated servo power</t>
  </si>
  <si>
    <t>8.4V output</t>
  </si>
  <si>
    <t>3–18S input; fits 12S aircraft bus</t>
  </si>
  <si>
    <t>Four high-torque servos should have a dedicated rail: 25A continuous / 50A peak.</t>
  </si>
  <si>
    <t>https://www.hobbywing.com/en/products/ubec-25a-hv95.html</t>
  </si>
  <si>
    <t>Hobbywing UBEC 10A HV</t>
  </si>
  <si>
    <t>Smaller servo power option</t>
  </si>
  <si>
    <t>1–2</t>
  </si>
  <si>
    <t>3–14S input; fits 12S aircraft bus</t>
  </si>
  <si>
    <t>Could power two servos, but not preferred for all four direct-drive servos.</t>
  </si>
  <si>
    <t>https://www.hobbywing.com/en/products/ubec-10a-hv289</t>
  </si>
  <si>
    <t>Matek FCHUB-12S</t>
  </si>
  <si>
    <t>PDB / FC power / ESC distribution</t>
  </si>
  <si>
    <t>5V/12V rails only</t>
  </si>
  <si>
    <t>3–12S input</t>
  </si>
  <si>
    <t>Can power FC and ESC paths; not a proper 8.4V high-current servo rail.</t>
  </si>
  <si>
    <t>https://www.mateksys.com/?portfolio=fchub-12s</t>
  </si>
  <si>
    <t>F405-HDTE / chosen FC</t>
  </si>
  <si>
    <t>Signal only to servos</t>
  </si>
  <si>
    <t>PWM signal line only</t>
  </si>
  <si>
    <t>Standard PWM output</t>
  </si>
  <si>
    <t>Servo positive/negative should come from dedicated UBEC; all grounds must be common.</t>
  </si>
  <si>
    <t>Direct-Drive Design Notes</t>
  </si>
  <si>
    <t>No arm/pushrod is possible, but no coupling is not possible.</t>
  </si>
  <si>
    <t>A direct-drive setup still needs a spline-to-pin coupler, keyed insert, clamp block, cross-pin, or other torque-lock feature between servo output and aileron/elevon pin.</t>
  </si>
  <si>
    <t>Servo shaft is not a hinge bearing.</t>
  </si>
  <si>
    <t>The control surface must have independent bearings/bushings. The servo should transmit torque, not carry bending load.</t>
  </si>
  <si>
    <t>Use the elevon as the sizing case.</t>
  </si>
  <si>
    <t>Elevon direct-drive requirement is 48.8 kg·cm, higher than the aileron at 42.8 kg·cm.</t>
  </si>
  <si>
    <t>Set servo endpoints carefully.</t>
  </si>
  <si>
    <t>Limit travel in ArduPilot/INAV so the surface moves only to the required ±20° or final flight-tested deflection.</t>
  </si>
  <si>
    <t>Bench-test before flight.</t>
  </si>
  <si>
    <t>Measure actual current draw, temperature, centering, backlash, and holding behavior under realistic aerodynamic load or equivalent fixture load.</t>
  </si>
  <si>
    <t>If Vmax increases, redo sizing.</t>
  </si>
  <si>
    <t>Aerodynamic load scales by (Vmax/24)^2, so small speed increases quickly raise torque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</si>
</sst>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0.00"/>
    <numFmt numFmtId="165" formatCode="0.00\x"/>
  </numFmts>
  <fonts count="7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color rgb="FF006100"/>
      <name val="Carlito"/>
    </font>
    <font>
      <b/>
      <sz val="11"/>
      <color rgb="FF9C0006"/>
      <name val="Carlito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4" fillId="5" borderId="0" xfId="0" applyFont="1" applyFill="1" applyAlignment="1">
      <alignment wrapText="1"/>
    </xf>
    <xf numFmtId="165" fontId="4" fillId="5" borderId="0" xfId="0" applyNumberFormat="1" applyFont="1" applyFill="1" applyAlignment="1">
      <alignment wrapText="1"/>
    </xf>
    <xf numFmtId="0" fontId="5" fillId="6" borderId="0" xfId="0" applyFont="1" applyFill="1" applyAlignment="1">
      <alignment wrapText="1"/>
    </xf>
    <xf numFmtId="165" fontId="5" fillId="6" borderId="0" xfId="0" applyNumberFormat="1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6" fillId="5" borderId="0" xfId="1" applyFill="1" applyAlignment="1">
      <alignment wrapText="1"/>
    </xf>
    <xf numFmtId="0" fontId="6" fillId="0" borderId="0" xfId="1" applyAlignment="1">
      <alignment wrapText="1"/>
    </xf>
    <xf numFmtId="0" fontId="6" fillId="6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quirements" displayName="Requirements" ref="A3:H5">
  <tableColumns count="8">
    <tableColumn id="1" xr3:uid="{00000000-0010-0000-0000-000001000000}" name="Surface"/>
    <tableColumn id="2" xr3:uid="{00000000-0010-0000-0000-000002000000}" name="Worst case deflection"/>
    <tableColumn id="3" xr3:uid="{00000000-0010-0000-0000-000003000000}" name="Design speed"/>
    <tableColumn id="4" xr3:uid="{00000000-0010-0000-0000-000004000000}" name="Hinge moment conservative"/>
    <tableColumn id="5" xr3:uid="{00000000-0010-0000-0000-000005000000}" name="Direct-drive design torque"/>
    <tableColumn id="6" xr3:uid="{00000000-0010-0000-0000-000006000000}" name="Equivalent kg·cm"/>
    <tableColumn id="7" xr3:uid="{00000000-0010-0000-0000-000007000000}" name="Pin recommendation"/>
    <tableColumn id="8" xr3:uid="{00000000-0010-0000-0000-000008000000}" name="Source 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irectDriveServos" displayName="DirectDriveServos" ref="A3:O9">
  <tableColumns count="15">
    <tableColumn id="1" xr3:uid="{00000000-0010-0000-0100-000001000000}" name="Rank"/>
    <tableColumn id="2" xr3:uid="{00000000-0010-0000-0100-000002000000}" name="Servo"/>
    <tableColumn id="3" xr3:uid="{00000000-0010-0000-0100-000003000000}" name="Direct-drive verdict"/>
    <tableColumn id="4" xr3:uid="{00000000-0010-0000-0100-000004000000}" name="Torque @8.4V kg·cm"/>
    <tableColumn id="5" xr3:uid="{00000000-0010-0000-0100-000005000000}" name="Torque @7.4V kg·cm"/>
    <tableColumn id="6" xr3:uid="{00000000-0010-0000-0100-000006000000}" name="Thickness / width mm"/>
    <tableColumn id="7" xr3:uid="{00000000-0010-0000-0100-000007000000}" name="Height mm"/>
    <tableColumn id="8" xr3:uid="{00000000-0010-0000-0100-000008000000}" name="Length mm"/>
    <tableColumn id="9" xr3:uid="{00000000-0010-0000-0100-000009000000}" name="Weight g"/>
    <tableColumn id="10" xr3:uid="{00000000-0010-0000-0100-00000A000000}" name="Voltage"/>
    <tableColumn id="11" xr3:uid="{00000000-0010-0000-0100-00000B000000}" name="Approx. price"/>
    <tableColumn id="12" xr3:uid="{00000000-0010-0000-0100-00000C000000}" name="Margin vs elevon"/>
    <tableColumn id="13" xr3:uid="{00000000-0010-0000-0100-00000D000000}" name="Pros"/>
    <tableColumn id="14" xr3:uid="{00000000-0010-0000-0100-00000E000000}" name="Cons / Risk"/>
    <tableColumn id="15" xr3:uid="{00000000-0010-0000-0100-00000F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werWiring" displayName="PowerWiring" ref="A3:G7">
  <tableColumns count="7">
    <tableColumn id="1" xr3:uid="{00000000-0010-0000-0200-000001000000}" name="Component"/>
    <tableColumn id="2" xr3:uid="{00000000-0010-0000-0200-000002000000}" name="Role"/>
    <tableColumn id="3" xr3:uid="{00000000-0010-0000-0200-000003000000}" name="Recommended setting"/>
    <tableColumn id="4" xr3:uid="{00000000-0010-0000-0200-000004000000}" name="Qty"/>
    <tableColumn id="5" xr3:uid="{00000000-0010-0000-0200-000005000000}" name="Compatibility"/>
    <tableColumn id="6" xr3:uid="{00000000-0010-0000-0200-000006000000}" name="Reason"/>
    <tableColumn id="7" xr3:uid="{00000000-0010-0000-0200-000007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avox-servo.com/en/product/SV-1270TGplus/" TargetMode="External"/><Relationship Id="rId2" Type="http://schemas.openxmlformats.org/officeDocument/2006/relationships/hyperlink" Target="https://servodatabase.com/servo/jx-servo/pdi-hv2060mg" TargetMode="External"/><Relationship Id="rId1" Type="http://schemas.openxmlformats.org/officeDocument/2006/relationships/hyperlink" Target="https://www.agfrc.com/index.php?id=2747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9" sqref="G9"/>
    </sheetView>
  </sheetViews>
  <sheetFormatPr defaultRowHeight="14.25"/>
  <cols>
    <col min="1" max="8" width="18" customWidth="1"/>
  </cols>
  <sheetData>
    <row r="1" spans="1:8" ht="16.7" customHeight="1">
      <c r="A1" s="11" t="s">
        <v>0</v>
      </c>
      <c r="B1" s="12"/>
      <c r="C1" s="12"/>
      <c r="D1" s="12"/>
      <c r="E1" s="12"/>
      <c r="F1" s="12"/>
      <c r="G1" s="12"/>
      <c r="H1" s="12"/>
    </row>
    <row r="3" spans="1:8" ht="71.25">
      <c r="A3" s="1" t="s">
        <v>1</v>
      </c>
      <c r="B3" s="2" t="s">
        <v>2</v>
      </c>
    </row>
    <row r="4" spans="1:8" ht="57">
      <c r="A4" s="1" t="s">
        <v>3</v>
      </c>
      <c r="B4" s="2" t="s">
        <v>4</v>
      </c>
    </row>
    <row r="5" spans="1:8" ht="57">
      <c r="A5" s="1" t="s">
        <v>5</v>
      </c>
      <c r="B5" s="2" t="s">
        <v>6</v>
      </c>
    </row>
    <row r="6" spans="1:8" ht="57">
      <c r="A6" s="1" t="s">
        <v>7</v>
      </c>
      <c r="B6" s="2" t="s">
        <v>8</v>
      </c>
    </row>
    <row r="7" spans="1:8" ht="28.5">
      <c r="A7" s="1" t="s">
        <v>9</v>
      </c>
      <c r="B7" s="2" t="s">
        <v>10</v>
      </c>
    </row>
    <row r="8" spans="1:8" ht="57">
      <c r="A8" s="1" t="s">
        <v>11</v>
      </c>
      <c r="B8" s="2" t="s">
        <v>12</v>
      </c>
    </row>
    <row r="9" spans="1:8" ht="85.5">
      <c r="A9" s="1" t="s">
        <v>13</v>
      </c>
      <c r="B9" s="2" t="s">
        <v>14</v>
      </c>
    </row>
    <row r="10" spans="1:8" ht="71.25">
      <c r="A10" s="1" t="s">
        <v>15</v>
      </c>
      <c r="B10" s="2" t="s">
        <v>16</v>
      </c>
    </row>
    <row r="11" spans="1:8" ht="114">
      <c r="A11" s="1" t="s">
        <v>17</v>
      </c>
      <c r="B11" s="2" t="s">
        <v>18</v>
      </c>
    </row>
    <row r="13" spans="1:8" ht="30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26</v>
      </c>
    </row>
    <row r="14" spans="1:8" ht="71.25">
      <c r="A14" s="2" t="s">
        <v>27</v>
      </c>
      <c r="B14" s="2">
        <v>4</v>
      </c>
      <c r="C14" s="4">
        <v>128.99</v>
      </c>
      <c r="D14" s="4">
        <f>B14*C14</f>
        <v>515.96</v>
      </c>
      <c r="E14" s="2" t="s">
        <v>28</v>
      </c>
      <c r="F14" s="2" t="s">
        <v>29</v>
      </c>
      <c r="G14" s="2" t="s">
        <v>30</v>
      </c>
      <c r="H14" s="2" t="s">
        <v>31</v>
      </c>
    </row>
    <row r="15" spans="1:8" ht="42.75">
      <c r="A15" s="2" t="s">
        <v>32</v>
      </c>
      <c r="B15" s="2">
        <v>1</v>
      </c>
      <c r="C15" s="4"/>
      <c r="D15" s="4"/>
      <c r="E15" s="2" t="s">
        <v>33</v>
      </c>
      <c r="F15" s="2" t="s">
        <v>34</v>
      </c>
      <c r="G15" s="2"/>
      <c r="H15" s="2" t="s">
        <v>35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sqref="A1:H1"/>
    </sheetView>
  </sheetViews>
  <sheetFormatPr defaultRowHeight="14.25"/>
  <cols>
    <col min="1" max="7" width="22" customWidth="1"/>
    <col min="8" max="8" width="35" customWidth="1"/>
  </cols>
  <sheetData>
    <row r="1" spans="1:8" ht="16.7" customHeight="1">
      <c r="A1" s="11" t="s">
        <v>36</v>
      </c>
      <c r="B1" s="12"/>
      <c r="C1" s="12"/>
      <c r="D1" s="12"/>
      <c r="E1" s="12"/>
      <c r="F1" s="12"/>
      <c r="G1" s="12"/>
      <c r="H1" s="12"/>
    </row>
    <row r="3" spans="1:8" ht="30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</row>
    <row r="4" spans="1:8" ht="42.75">
      <c r="A4" s="2" t="s">
        <v>45</v>
      </c>
      <c r="B4" s="2" t="s">
        <v>46</v>
      </c>
      <c r="C4" s="2" t="s">
        <v>47</v>
      </c>
      <c r="D4" s="2" t="s">
        <v>48</v>
      </c>
      <c r="E4" s="5">
        <v>4.1950000000000003</v>
      </c>
      <c r="F4" s="5">
        <f>E4*10.1972</f>
        <v>42.777254000000006</v>
      </c>
      <c r="G4" s="2" t="s">
        <v>49</v>
      </c>
      <c r="H4" s="2" t="s">
        <v>50</v>
      </c>
    </row>
    <row r="5" spans="1:8" ht="42.75">
      <c r="A5" s="2" t="s">
        <v>51</v>
      </c>
      <c r="B5" s="2" t="s">
        <v>46</v>
      </c>
      <c r="C5" s="2" t="s">
        <v>47</v>
      </c>
      <c r="D5" s="2" t="s">
        <v>52</v>
      </c>
      <c r="E5" s="5">
        <v>4.7809999999999997</v>
      </c>
      <c r="F5" s="5">
        <f>E5*10.1972</f>
        <v>48.752813199999999</v>
      </c>
      <c r="G5" s="2" t="s">
        <v>53</v>
      </c>
      <c r="H5" s="2" t="s">
        <v>54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topLeftCell="E1" workbookViewId="0">
      <selection activeCell="O4" sqref="O4"/>
    </sheetView>
  </sheetViews>
  <sheetFormatPr defaultRowHeight="14.25"/>
  <cols>
    <col min="1" max="1" width="8" customWidth="1"/>
    <col min="2" max="2" width="24" customWidth="1"/>
    <col min="3" max="3" width="26" customWidth="1"/>
    <col min="4" max="5" width="16.25" customWidth="1"/>
    <col min="6" max="6" width="17.375" customWidth="1"/>
    <col min="7" max="7" width="9" customWidth="1"/>
    <col min="8" max="8" width="9.125" customWidth="1"/>
    <col min="9" max="10" width="7.25" customWidth="1"/>
    <col min="11" max="11" width="14.875" customWidth="1"/>
    <col min="12" max="12" width="13.5" customWidth="1"/>
    <col min="13" max="14" width="38" customWidth="1"/>
    <col min="15" max="15" width="56" customWidth="1"/>
  </cols>
  <sheetData>
    <row r="1" spans="1:15" ht="16.7" customHeight="1">
      <c r="A1" s="11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5" ht="30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23</v>
      </c>
      <c r="K3" s="3" t="s">
        <v>65</v>
      </c>
      <c r="L3" s="3" t="s">
        <v>66</v>
      </c>
      <c r="M3" s="3" t="s">
        <v>67</v>
      </c>
      <c r="N3" s="3" t="s">
        <v>68</v>
      </c>
      <c r="O3" s="3" t="s">
        <v>69</v>
      </c>
    </row>
    <row r="4" spans="1:15" ht="45">
      <c r="A4" s="7">
        <v>1</v>
      </c>
      <c r="B4" s="7" t="s">
        <v>27</v>
      </c>
      <c r="C4" s="7" t="s">
        <v>70</v>
      </c>
      <c r="D4" s="7">
        <v>60</v>
      </c>
      <c r="E4" s="7">
        <v>53</v>
      </c>
      <c r="F4" s="7">
        <v>20.2</v>
      </c>
      <c r="G4" s="7">
        <v>29.5</v>
      </c>
      <c r="H4" s="7">
        <v>40.799999999999997</v>
      </c>
      <c r="I4" s="7">
        <v>75.8</v>
      </c>
      <c r="J4" s="7" t="s">
        <v>71</v>
      </c>
      <c r="K4" s="7" t="s">
        <v>72</v>
      </c>
      <c r="L4" s="8">
        <f>D4/48.8</f>
        <v>1.2295081967213115</v>
      </c>
      <c r="M4" s="7" t="s">
        <v>73</v>
      </c>
      <c r="N4" s="7" t="s">
        <v>74</v>
      </c>
      <c r="O4" s="13" t="s">
        <v>75</v>
      </c>
    </row>
    <row r="5" spans="1:15" ht="28.5">
      <c r="A5" s="2">
        <v>2</v>
      </c>
      <c r="B5" s="2" t="s">
        <v>76</v>
      </c>
      <c r="C5" s="2" t="s">
        <v>77</v>
      </c>
      <c r="D5" s="2">
        <v>55</v>
      </c>
      <c r="E5" s="2">
        <v>49</v>
      </c>
      <c r="F5" s="2">
        <v>20</v>
      </c>
      <c r="G5" s="2">
        <v>41.5</v>
      </c>
      <c r="H5" s="2">
        <v>40</v>
      </c>
      <c r="I5" s="2">
        <v>88.5</v>
      </c>
      <c r="J5" s="2" t="s">
        <v>71</v>
      </c>
      <c r="K5" s="2" t="s">
        <v>78</v>
      </c>
      <c r="L5" s="6">
        <f>D5/48.8</f>
        <v>1.1270491803278688</v>
      </c>
      <c r="M5" s="2" t="s">
        <v>79</v>
      </c>
      <c r="N5" s="2" t="s">
        <v>80</v>
      </c>
      <c r="O5" s="2" t="s">
        <v>81</v>
      </c>
    </row>
    <row r="6" spans="1:15" ht="42.75">
      <c r="A6" s="2">
        <v>3</v>
      </c>
      <c r="B6" s="2" t="s">
        <v>82</v>
      </c>
      <c r="C6" s="2" t="s">
        <v>83</v>
      </c>
      <c r="D6" s="2"/>
      <c r="E6" s="2">
        <v>62</v>
      </c>
      <c r="F6" s="2">
        <v>30.2</v>
      </c>
      <c r="G6" s="2">
        <v>57.4</v>
      </c>
      <c r="H6" s="2">
        <v>65.8</v>
      </c>
      <c r="I6" s="2">
        <v>200</v>
      </c>
      <c r="J6" s="2" t="s">
        <v>84</v>
      </c>
      <c r="K6" s="2" t="s">
        <v>85</v>
      </c>
      <c r="L6" s="6">
        <f>E6/48.8</f>
        <v>1.2704918032786885</v>
      </c>
      <c r="M6" s="2" t="s">
        <v>86</v>
      </c>
      <c r="N6" s="2" t="s">
        <v>87</v>
      </c>
      <c r="O6" s="14" t="s">
        <v>88</v>
      </c>
    </row>
    <row r="7" spans="1:15" ht="42.75">
      <c r="A7" s="2">
        <v>4</v>
      </c>
      <c r="B7" s="2" t="s">
        <v>89</v>
      </c>
      <c r="C7" s="2" t="s">
        <v>90</v>
      </c>
      <c r="D7" s="2">
        <v>50</v>
      </c>
      <c r="E7" s="2"/>
      <c r="F7" s="2">
        <v>20</v>
      </c>
      <c r="G7" s="2"/>
      <c r="H7" s="2"/>
      <c r="I7" s="2"/>
      <c r="J7" s="2" t="s">
        <v>91</v>
      </c>
      <c r="K7" s="2" t="s">
        <v>92</v>
      </c>
      <c r="L7" s="6">
        <f>D7/48.8</f>
        <v>1.0245901639344264</v>
      </c>
      <c r="M7" s="2" t="s">
        <v>93</v>
      </c>
      <c r="N7" s="2" t="s">
        <v>94</v>
      </c>
      <c r="O7" s="2" t="s">
        <v>95</v>
      </c>
    </row>
    <row r="8" spans="1:15" ht="45">
      <c r="A8" s="9">
        <v>5</v>
      </c>
      <c r="B8" s="9" t="s">
        <v>96</v>
      </c>
      <c r="C8" s="9" t="s">
        <v>97</v>
      </c>
      <c r="D8" s="9">
        <v>45</v>
      </c>
      <c r="E8" s="9">
        <v>40</v>
      </c>
      <c r="F8" s="9">
        <v>20.2</v>
      </c>
      <c r="G8" s="9">
        <v>37.200000000000003</v>
      </c>
      <c r="H8" s="9">
        <v>40.299999999999997</v>
      </c>
      <c r="I8" s="9">
        <v>64</v>
      </c>
      <c r="J8" s="9" t="s">
        <v>91</v>
      </c>
      <c r="K8" s="9" t="s">
        <v>98</v>
      </c>
      <c r="L8" s="10">
        <f>D8/48.8</f>
        <v>0.92213114754098369</v>
      </c>
      <c r="M8" s="9" t="s">
        <v>99</v>
      </c>
      <c r="N8" s="9" t="s">
        <v>100</v>
      </c>
      <c r="O8" s="15" t="s">
        <v>101</v>
      </c>
    </row>
    <row r="9" spans="1:15" ht="45">
      <c r="A9" s="9">
        <v>6</v>
      </c>
      <c r="B9" s="9" t="s">
        <v>102</v>
      </c>
      <c r="C9" s="9" t="s">
        <v>103</v>
      </c>
      <c r="D9" s="9">
        <v>10</v>
      </c>
      <c r="E9" s="9"/>
      <c r="F9" s="9">
        <v>10</v>
      </c>
      <c r="G9" s="9"/>
      <c r="H9" s="9"/>
      <c r="I9" s="9"/>
      <c r="J9" s="9" t="s">
        <v>104</v>
      </c>
      <c r="K9" s="9" t="s">
        <v>105</v>
      </c>
      <c r="L9" s="10">
        <f>D9/48.8</f>
        <v>0.20491803278688525</v>
      </c>
      <c r="M9" s="9" t="s">
        <v>106</v>
      </c>
      <c r="N9" s="9" t="s">
        <v>107</v>
      </c>
      <c r="O9" s="9"/>
    </row>
  </sheetData>
  <mergeCells count="1">
    <mergeCell ref="A1:N1"/>
  </mergeCells>
  <hyperlinks>
    <hyperlink ref="O4" r:id="rId1" xr:uid="{F90BCED3-75D1-49BD-B846-D17955C4428E}"/>
    <hyperlink ref="O6" r:id="rId2" xr:uid="{7F664B43-118C-4184-876F-3660189D2FFD}"/>
    <hyperlink ref="O8" r:id="rId3" xr:uid="{94A2F379-AE94-4F89-B8C5-95B1ADD57185}"/>
  </hyperlink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sqref="A1:G1"/>
    </sheetView>
  </sheetViews>
  <sheetFormatPr defaultRowHeight="14.25"/>
  <cols>
    <col min="1" max="5" width="28" customWidth="1"/>
    <col min="6" max="7" width="55" customWidth="1"/>
  </cols>
  <sheetData>
    <row r="1" spans="1:7" ht="16.7" customHeight="1">
      <c r="A1" s="11" t="s">
        <v>108</v>
      </c>
      <c r="B1" s="12"/>
      <c r="C1" s="12"/>
      <c r="D1" s="12"/>
      <c r="E1" s="12"/>
      <c r="F1" s="12"/>
      <c r="G1" s="12"/>
    </row>
    <row r="3" spans="1:7" ht="15">
      <c r="A3" s="3" t="s">
        <v>109</v>
      </c>
      <c r="B3" s="3" t="s">
        <v>110</v>
      </c>
      <c r="C3" s="3" t="s">
        <v>111</v>
      </c>
      <c r="D3" s="3" t="s">
        <v>20</v>
      </c>
      <c r="E3" s="3" t="s">
        <v>112</v>
      </c>
      <c r="F3" s="3" t="s">
        <v>26</v>
      </c>
      <c r="G3" s="3" t="s">
        <v>69</v>
      </c>
    </row>
    <row r="4" spans="1:7" ht="28.5">
      <c r="A4" s="2" t="s">
        <v>32</v>
      </c>
      <c r="B4" s="2" t="s">
        <v>113</v>
      </c>
      <c r="C4" s="2" t="s">
        <v>114</v>
      </c>
      <c r="D4" s="2">
        <v>1</v>
      </c>
      <c r="E4" s="2" t="s">
        <v>115</v>
      </c>
      <c r="F4" s="2" t="s">
        <v>116</v>
      </c>
      <c r="G4" s="2" t="s">
        <v>117</v>
      </c>
    </row>
    <row r="5" spans="1:7" ht="28.5">
      <c r="A5" s="2" t="s">
        <v>118</v>
      </c>
      <c r="B5" s="2" t="s">
        <v>119</v>
      </c>
      <c r="C5" s="2" t="s">
        <v>114</v>
      </c>
      <c r="D5" s="2" t="s">
        <v>120</v>
      </c>
      <c r="E5" s="2" t="s">
        <v>121</v>
      </c>
      <c r="F5" s="2" t="s">
        <v>122</v>
      </c>
      <c r="G5" s="2" t="s">
        <v>123</v>
      </c>
    </row>
    <row r="6" spans="1:7" ht="28.5">
      <c r="A6" s="2" t="s">
        <v>124</v>
      </c>
      <c r="B6" s="2" t="s">
        <v>125</v>
      </c>
      <c r="C6" s="2" t="s">
        <v>126</v>
      </c>
      <c r="D6" s="2">
        <v>1</v>
      </c>
      <c r="E6" s="2" t="s">
        <v>127</v>
      </c>
      <c r="F6" s="2" t="s">
        <v>128</v>
      </c>
      <c r="G6" s="2" t="s">
        <v>129</v>
      </c>
    </row>
    <row r="7" spans="1:7" ht="28.5">
      <c r="A7" s="2" t="s">
        <v>130</v>
      </c>
      <c r="B7" s="2" t="s">
        <v>131</v>
      </c>
      <c r="C7" s="2" t="s">
        <v>132</v>
      </c>
      <c r="D7" s="2">
        <v>1</v>
      </c>
      <c r="E7" s="2" t="s">
        <v>133</v>
      </c>
      <c r="F7" s="2" t="s">
        <v>134</v>
      </c>
      <c r="G7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sqref="A1:F1"/>
    </sheetView>
  </sheetViews>
  <sheetFormatPr defaultRowHeight="14.25"/>
  <cols>
    <col min="1" max="1" width="34" customWidth="1"/>
    <col min="2" max="2" width="90" customWidth="1"/>
  </cols>
  <sheetData>
    <row r="1" spans="1:6" ht="16.7" customHeight="1">
      <c r="A1" s="11" t="s">
        <v>135</v>
      </c>
      <c r="B1" s="12"/>
      <c r="C1" s="12"/>
      <c r="D1" s="12"/>
      <c r="E1" s="12"/>
      <c r="F1" s="12"/>
    </row>
    <row r="3" spans="1:6" ht="30">
      <c r="A3" s="1" t="s">
        <v>136</v>
      </c>
      <c r="B3" s="2" t="s">
        <v>137</v>
      </c>
    </row>
    <row r="4" spans="1:6" ht="28.5">
      <c r="A4" s="1" t="s">
        <v>138</v>
      </c>
      <c r="B4" s="2" t="s">
        <v>139</v>
      </c>
    </row>
    <row r="5" spans="1:6" ht="15">
      <c r="A5" s="1" t="s">
        <v>140</v>
      </c>
      <c r="B5" s="2" t="s">
        <v>141</v>
      </c>
    </row>
    <row r="6" spans="1:6" ht="15">
      <c r="A6" s="1" t="s">
        <v>142</v>
      </c>
      <c r="B6" s="2" t="s">
        <v>143</v>
      </c>
    </row>
    <row r="7" spans="1:6" ht="28.5">
      <c r="A7" s="1" t="s">
        <v>144</v>
      </c>
      <c r="B7" s="2" t="s">
        <v>145</v>
      </c>
    </row>
    <row r="8" spans="1:6" ht="15">
      <c r="A8" s="1" t="s">
        <v>146</v>
      </c>
      <c r="B8" s="2" t="s">
        <v>147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Requirements</vt:lpstr>
      <vt:lpstr>Direct_Drive_Servos</vt:lpstr>
      <vt:lpstr>Power_Wiring</vt:lpstr>
      <vt:lpstr>Design_Notes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 Nikolov</cp:lastModifiedBy>
  <dcterms:modified xsi:type="dcterms:W3CDTF">2026-06-23T14:27:31Z</dcterms:modified>
</cp:coreProperties>
</file>