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097411\Documents\GitHub\ORGOfly-CAD-Model\"/>
    </mc:Choice>
  </mc:AlternateContent>
  <xr:revisionPtr revIDLastSave="0" documentId="13_ncr:1_{1BE9D731-1C25-433C-8FCE-C380CA333FDB}" xr6:coauthVersionLast="47" xr6:coauthVersionMax="47" xr10:uidLastSave="{00000000-0000-0000-0000-000000000000}"/>
  <bookViews>
    <workbookView xWindow="-108" yWindow="-108" windowWidth="23256" windowHeight="13896" firstSheet="1" activeTab="1" xr2:uid="{EEE73C29-3BDB-49EB-9C57-2FAD514C20AA}"/>
  </bookViews>
  <sheets>
    <sheet name="Background_info" sheetId="2" state="hidden" r:id="rId1"/>
    <sheet name="Main_Table" sheetId="1" r:id="rId2"/>
    <sheet name="Tota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tc={FC7EAD15-5036-416E-B513-A56CC16EB152}</author>
  </authors>
  <commentList>
    <comment ref="B5" authorId="0" shapeId="0" xr:uid="{FC7EAD15-5036-416E-B513-A56CC16EB152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14x12</t>
      </text>
    </comment>
  </commentList>
</comments>
</file>

<file path=xl/sharedStrings.xml><?xml version="1.0" encoding="utf-8"?>
<sst xmlns="http://schemas.openxmlformats.org/spreadsheetml/2006/main" count="76" uniqueCount="55">
  <si>
    <t>#</t>
  </si>
  <si>
    <t>Domain</t>
  </si>
  <si>
    <t>Quantity</t>
  </si>
  <si>
    <t>Unit</t>
  </si>
  <si>
    <t>pcs</t>
  </si>
  <si>
    <t>kg</t>
  </si>
  <si>
    <t>meters</t>
  </si>
  <si>
    <t>sheets</t>
  </si>
  <si>
    <t>Supplier/Link</t>
  </si>
  <si>
    <t>Status</t>
  </si>
  <si>
    <t>approved</t>
  </si>
  <si>
    <t>ordered</t>
  </si>
  <si>
    <t>received</t>
  </si>
  <si>
    <t>rejected</t>
  </si>
  <si>
    <t>Notes</t>
  </si>
  <si>
    <t>Item Name</t>
  </si>
  <si>
    <t>Item Description</t>
  </si>
  <si>
    <t>Subsystem</t>
  </si>
  <si>
    <t>Propulsion</t>
  </si>
  <si>
    <t>Power</t>
  </si>
  <si>
    <t>Business</t>
  </si>
  <si>
    <t>Other</t>
  </si>
  <si>
    <t>Lead Time</t>
  </si>
  <si>
    <t>Please add components here only after selection process has been finished!</t>
  </si>
  <si>
    <t>Airframe and Structures</t>
  </si>
  <si>
    <t>Flight Control and Avionics</t>
  </si>
  <si>
    <t>Control Surfaces and Mechanisms</t>
  </si>
  <si>
    <t>Payload and Medical Transport System</t>
  </si>
  <si>
    <t>Communications and Ground Equipment</t>
  </si>
  <si>
    <t>Manufacturing and prototyping</t>
  </si>
  <si>
    <t>Fasteners and Consumables</t>
  </si>
  <si>
    <t>Testing and Safety Equipment</t>
  </si>
  <si>
    <t xml:space="preserve">OrgoFly Domain </t>
  </si>
  <si>
    <t>n/a</t>
  </si>
  <si>
    <t>Total price (€)</t>
  </si>
  <si>
    <t>Price (€)</t>
  </si>
  <si>
    <t>pending</t>
  </si>
  <si>
    <t>CF Tube 22x20mm</t>
  </si>
  <si>
    <t>CF Tube 16x14mm</t>
  </si>
  <si>
    <t>CF Tube 24x22mm</t>
  </si>
  <si>
    <t>PA6+CF filament</t>
  </si>
  <si>
    <t>Filament to print the structural parts of the drone (500g)</t>
  </si>
  <si>
    <t>https://3dprintx.bg/magazin/pa6-cf-with-spool-cherno-bambu-lab/?gad_source=1&amp;gad_campaignid=23369295043&amp;gbraid=0AAAABBeApTZEPbIRHor7bJZ92Gq7vT3lv&amp;gclid=CjwKCAjwxITRBhBYEiwA6mZm7bCe5kvsvoz_znE0dv8i7YoYQrUSTdOaCQ7RKckeGywr-XLrI4hECRoCo7MQAvD_BwE</t>
  </si>
  <si>
    <t>5days?</t>
  </si>
  <si>
    <t>Main CF tube that would run along the wing and fuselage structure (1000mm)</t>
  </si>
  <si>
    <t>CF tube that would run along the V-tail (1000mm)</t>
  </si>
  <si>
    <t>https://www.aliexpress.com/item/1005008563841954.html?spm=a2g0o.productlist.main.3.b0aaJRc9JRc9IJ&amp;algo_pvid=51e86ca4-3a40-4670-b78f-9a18ffbdf720&amp;algo_exp_id=51e86ca4-3a40-4670-b78f-9a18ffbdf720-2&amp;pdp_ext_f=%7B%22order%22%3A%2260%22%2C%22eval%22%3A%221%22%2C%22fromPage%22%3A%22search%22%7D&amp;pdp_npi=6%40dis%21BGN%2121.75%2118.38%21%21%2187.00%2173.52%21%402103128917805974287168002e4048%2112000047147089281%21sea%21BG%210%21ABX%211%210%21n_tag%3A-29910%3Bd%3Ad5d25ef1%3Bm03_new_user%3A-29895%3BpisId%3A5000000204855994&amp;curPageLogUid=dChSXGxbpe9S&amp;utparam-url=scene%3Asearch%7Cquery_from%3A%7Cx_object_id%3A1005008563841954%7C_p_origin_prod%3A</t>
  </si>
  <si>
    <t>CF tube that connects the wing tubes together (1000mm)</t>
  </si>
  <si>
    <t>Only 200mm needed</t>
  </si>
  <si>
    <t>https://www.aliexpress.com/item/4000193051211.html?spm=a2g0o.productlist.main.5.540aHWXPHWXPps&amp;algo_pvid=0dbf6731-5a6e-4355-856a-ea1a08c92cb2&amp;algo_exp_id=0dbf6731-5a6e-4355-856a-ea1a08c92cb2-4&amp;pdp_ext_f=%7B%22order%22%3A%228%22%2C%22eval%22%3A%221%22%2C%22fromPage%22%3A%22search%22%7D&amp;pdp_npi=6%40dis%21BGN%2155.57%2152.18%21%21%2132.99%2130.98%21%402101d49617805996051283277ec765%2110000000754935441%21sea%21BG%210%21ABX%211%210%21n_tag%3A-29910%3Bd%3Ad5d25ef1%3Bm03_new_user%3A-29895%3BpisId%3A5000000204855994&amp;curPageLogUid=8PNFEmkJAiAB&amp;utparam-url=scene%3Asearch%7Cquery_from%3A%7Cx_object_id%3A4000193051211%7C_p_origin_prod%3A</t>
  </si>
  <si>
    <t>30days</t>
  </si>
  <si>
    <t>20days</t>
  </si>
  <si>
    <t>Under development</t>
  </si>
  <si>
    <t>CF Tube 6x4mm</t>
  </si>
  <si>
    <t>Smaller CF tube that runs along the 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</si>
</sst>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left"/>
    </xf>
    <xf numFmtId="0" fontId="3" fillId="2" borderId="1" xfId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0" xfId="0" applyFont="1" applyFill="1"/>
    <xf numFmtId="0" fontId="0" fillId="4" borderId="1" xfId="0" applyFill="1" applyBorder="1" applyAlignment="1">
      <alignment horizontal="center" vertical="center"/>
    </xf>
    <xf numFmtId="0" fontId="4" fillId="0" borderId="0" xfId="0" applyFont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kolov, Aleksandar" id="{47DC221D-ABEF-4119-BAB4-8C611EFC78D8}" userId="S::anikolov5@sensata.com::11a41fcd-3703-42fb-8970-2f070df264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6-07T15:24:27.30" personId="{47DC221D-ABEF-4119-BAB4-8C611EFC78D8}" id="{FC7EAD15-5036-416E-B513-A56CC16EB152}">
    <text>Should be 14x12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3dprintx.bg/magazin/pa6-cf-with-spool-cherno-bambu-lab/?gad_source=1&amp;gad_campaignid=23369295043&amp;gbraid=0AAAABBeApTZEPbIRHor7bJZ92Gq7vT3lv&amp;gclid=CjwKCAjwxITRBhBYEiwA6mZm7bCe5kvsvoz_znE0dv8i7YoYQrUSTdOaCQ7RKckeGywr-XLrI4hECRoCo7MQAvD_BwE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099F-610B-4C2F-A80F-3888BDD56E8E}">
  <dimension ref="B2:D14"/>
  <sheetViews>
    <sheetView workbookViewId="0">
      <selection activeCell="C3" sqref="C3"/>
    </sheetView>
  </sheetViews>
  <sheetFormatPr defaultRowHeight="14.4" x14ac:dyDescent="0.3"/>
  <cols>
    <col min="4" max="4" width="33.33203125" bestFit="1" customWidth="1"/>
  </cols>
  <sheetData>
    <row r="2" spans="2:4" x14ac:dyDescent="0.3">
      <c r="B2" s="4" t="s">
        <v>3</v>
      </c>
      <c r="C2" s="4" t="s">
        <v>9</v>
      </c>
      <c r="D2" s="4" t="s">
        <v>17</v>
      </c>
    </row>
    <row r="3" spans="2:4" x14ac:dyDescent="0.3">
      <c r="B3" t="s">
        <v>4</v>
      </c>
      <c r="C3" t="s">
        <v>36</v>
      </c>
      <c r="D3" t="s">
        <v>24</v>
      </c>
    </row>
    <row r="4" spans="2:4" x14ac:dyDescent="0.3">
      <c r="B4" t="s">
        <v>6</v>
      </c>
      <c r="C4" t="s">
        <v>10</v>
      </c>
      <c r="D4" t="s">
        <v>18</v>
      </c>
    </row>
    <row r="5" spans="2:4" x14ac:dyDescent="0.3">
      <c r="B5" t="s">
        <v>5</v>
      </c>
      <c r="C5" t="s">
        <v>11</v>
      </c>
      <c r="D5" t="s">
        <v>19</v>
      </c>
    </row>
    <row r="6" spans="2:4" x14ac:dyDescent="0.3">
      <c r="B6" t="s">
        <v>7</v>
      </c>
      <c r="C6" t="s">
        <v>12</v>
      </c>
      <c r="D6" t="s">
        <v>25</v>
      </c>
    </row>
    <row r="7" spans="2:4" x14ac:dyDescent="0.3">
      <c r="C7" t="s">
        <v>13</v>
      </c>
      <c r="D7" t="s">
        <v>26</v>
      </c>
    </row>
    <row r="8" spans="2:4" x14ac:dyDescent="0.3">
      <c r="D8" t="s">
        <v>27</v>
      </c>
    </row>
    <row r="9" spans="2:4" x14ac:dyDescent="0.3">
      <c r="D9" t="s">
        <v>28</v>
      </c>
    </row>
    <row r="10" spans="2:4" x14ac:dyDescent="0.3">
      <c r="D10" t="s">
        <v>29</v>
      </c>
    </row>
    <row r="11" spans="2:4" x14ac:dyDescent="0.3">
      <c r="D11" t="s">
        <v>30</v>
      </c>
    </row>
    <row r="12" spans="2:4" x14ac:dyDescent="0.3">
      <c r="D12" t="s">
        <v>31</v>
      </c>
    </row>
    <row r="13" spans="2:4" x14ac:dyDescent="0.3">
      <c r="D13" t="s">
        <v>20</v>
      </c>
    </row>
    <row r="14" spans="2:4" x14ac:dyDescent="0.3">
      <c r="D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346-BCBC-4D9C-B399-F93315446069}">
  <dimension ref="A1:L32"/>
  <sheetViews>
    <sheetView tabSelected="1" workbookViewId="0">
      <selection activeCell="C16" sqref="C16"/>
    </sheetView>
  </sheetViews>
  <sheetFormatPr defaultRowHeight="14.4" x14ac:dyDescent="0.3"/>
  <cols>
    <col min="1" max="1" width="3" style="1" bestFit="1" customWidth="1"/>
    <col min="2" max="2" width="15.77734375" style="7" bestFit="1" customWidth="1"/>
    <col min="3" max="3" width="57.77734375" style="2" customWidth="1"/>
    <col min="4" max="4" width="25.5546875" style="1" bestFit="1" customWidth="1"/>
    <col min="5" max="6" width="8.88671875" style="1"/>
    <col min="7" max="7" width="4.44140625" style="1" bestFit="1" customWidth="1"/>
    <col min="8" max="8" width="12.21875" style="1" bestFit="1" customWidth="1"/>
    <col min="9" max="9" width="12.21875" style="1" customWidth="1"/>
    <col min="10" max="10" width="9.44140625" style="1" bestFit="1" customWidth="1"/>
    <col min="11" max="11" width="8.88671875" style="1"/>
    <col min="12" max="12" width="32.21875" style="17" customWidth="1"/>
    <col min="13" max="16384" width="8.88671875" style="2"/>
  </cols>
  <sheetData>
    <row r="1" spans="1:12" x14ac:dyDescent="0.3">
      <c r="A1" s="5" t="s">
        <v>23</v>
      </c>
      <c r="C1" s="6"/>
      <c r="L1" s="2"/>
    </row>
    <row r="2" spans="1:12" ht="27" customHeight="1" x14ac:dyDescent="0.3">
      <c r="A2" s="9" t="s">
        <v>0</v>
      </c>
      <c r="B2" s="10" t="s">
        <v>15</v>
      </c>
      <c r="C2" s="11" t="s">
        <v>16</v>
      </c>
      <c r="D2" s="12" t="s">
        <v>17</v>
      </c>
      <c r="E2" s="9" t="s">
        <v>35</v>
      </c>
      <c r="F2" s="9" t="s">
        <v>2</v>
      </c>
      <c r="G2" s="9" t="s">
        <v>3</v>
      </c>
      <c r="H2" s="9" t="s">
        <v>8</v>
      </c>
      <c r="I2" s="9" t="s">
        <v>34</v>
      </c>
      <c r="J2" s="9" t="s">
        <v>22</v>
      </c>
      <c r="K2" s="9" t="s">
        <v>9</v>
      </c>
      <c r="L2" s="11" t="s">
        <v>14</v>
      </c>
    </row>
    <row r="3" spans="1:12" x14ac:dyDescent="0.3">
      <c r="A3" s="15">
        <v>1</v>
      </c>
      <c r="B3" s="14" t="s">
        <v>1</v>
      </c>
      <c r="C3" s="13" t="s">
        <v>32</v>
      </c>
      <c r="D3" s="15" t="s">
        <v>20</v>
      </c>
      <c r="E3" s="15"/>
      <c r="F3" s="15">
        <v>1</v>
      </c>
      <c r="G3" s="15" t="s">
        <v>4</v>
      </c>
      <c r="H3" s="3"/>
      <c r="I3" s="15">
        <f>F3*E3</f>
        <v>0</v>
      </c>
      <c r="J3" s="15" t="s">
        <v>33</v>
      </c>
      <c r="K3" s="18" t="s">
        <v>36</v>
      </c>
      <c r="L3" s="16"/>
    </row>
    <row r="4" spans="1:12" ht="28.8" x14ac:dyDescent="0.3">
      <c r="A4" s="15">
        <v>2</v>
      </c>
      <c r="B4" s="14" t="s">
        <v>37</v>
      </c>
      <c r="C4" s="13" t="s">
        <v>44</v>
      </c>
      <c r="D4" s="15" t="s">
        <v>24</v>
      </c>
      <c r="E4" s="15">
        <v>14.77</v>
      </c>
      <c r="F4" s="15">
        <v>2</v>
      </c>
      <c r="G4" s="15" t="s">
        <v>4</v>
      </c>
      <c r="H4" s="3" t="s">
        <v>46</v>
      </c>
      <c r="I4" s="15">
        <f t="shared" ref="I4:I32" si="0">F4*E4</f>
        <v>29.54</v>
      </c>
      <c r="J4" s="15" t="s">
        <v>51</v>
      </c>
      <c r="K4" s="18" t="s">
        <v>36</v>
      </c>
      <c r="L4" s="16"/>
    </row>
    <row r="5" spans="1:12" x14ac:dyDescent="0.3">
      <c r="A5" s="15">
        <v>3</v>
      </c>
      <c r="B5" s="20" t="s">
        <v>38</v>
      </c>
      <c r="C5" s="21" t="s">
        <v>45</v>
      </c>
      <c r="D5" s="15" t="s">
        <v>24</v>
      </c>
      <c r="E5" s="15">
        <v>31.02</v>
      </c>
      <c r="F5" s="15">
        <v>2</v>
      </c>
      <c r="G5" s="15" t="s">
        <v>4</v>
      </c>
      <c r="H5" s="3" t="s">
        <v>49</v>
      </c>
      <c r="I5" s="15">
        <f t="shared" si="0"/>
        <v>62.04</v>
      </c>
      <c r="J5" s="15" t="s">
        <v>50</v>
      </c>
      <c r="K5" s="18" t="s">
        <v>36</v>
      </c>
      <c r="L5" s="16"/>
    </row>
    <row r="6" spans="1:12" x14ac:dyDescent="0.3">
      <c r="A6" s="15">
        <v>4</v>
      </c>
      <c r="B6" s="14" t="s">
        <v>39</v>
      </c>
      <c r="C6" s="13" t="s">
        <v>47</v>
      </c>
      <c r="D6" s="15" t="s">
        <v>24</v>
      </c>
      <c r="E6" s="15">
        <v>18.22</v>
      </c>
      <c r="F6" s="15">
        <v>1</v>
      </c>
      <c r="G6" s="15" t="s">
        <v>4</v>
      </c>
      <c r="H6" s="3" t="s">
        <v>46</v>
      </c>
      <c r="I6" s="15">
        <f t="shared" si="0"/>
        <v>18.22</v>
      </c>
      <c r="J6" s="15" t="s">
        <v>51</v>
      </c>
      <c r="K6" s="18" t="s">
        <v>36</v>
      </c>
      <c r="L6" s="16" t="s">
        <v>48</v>
      </c>
    </row>
    <row r="7" spans="1:12" x14ac:dyDescent="0.3">
      <c r="A7" s="15">
        <v>5</v>
      </c>
      <c r="B7" s="14" t="s">
        <v>40</v>
      </c>
      <c r="C7" s="13" t="s">
        <v>41</v>
      </c>
      <c r="D7" s="15" t="s">
        <v>29</v>
      </c>
      <c r="E7" s="15">
        <v>47.5</v>
      </c>
      <c r="F7" s="15">
        <v>1</v>
      </c>
      <c r="G7" s="15" t="s">
        <v>4</v>
      </c>
      <c r="H7" s="8" t="s">
        <v>42</v>
      </c>
      <c r="I7" s="15">
        <f t="shared" si="0"/>
        <v>47.5</v>
      </c>
      <c r="J7" s="15" t="s">
        <v>43</v>
      </c>
      <c r="K7" s="18" t="s">
        <v>36</v>
      </c>
      <c r="L7" s="16"/>
    </row>
    <row r="8" spans="1:12" x14ac:dyDescent="0.3">
      <c r="A8" s="15">
        <v>6</v>
      </c>
      <c r="B8" s="14" t="s">
        <v>53</v>
      </c>
      <c r="C8" s="13" t="s">
        <v>54</v>
      </c>
      <c r="D8" s="15" t="s">
        <v>24</v>
      </c>
      <c r="E8" s="15"/>
      <c r="F8" s="15"/>
      <c r="G8" s="15"/>
      <c r="H8" s="3"/>
      <c r="I8" s="15">
        <f t="shared" si="0"/>
        <v>0</v>
      </c>
      <c r="J8" s="15"/>
      <c r="K8" s="18"/>
      <c r="L8" s="16"/>
    </row>
    <row r="9" spans="1:12" x14ac:dyDescent="0.3">
      <c r="A9" s="15">
        <v>7</v>
      </c>
      <c r="B9" s="14"/>
      <c r="C9" s="13"/>
      <c r="D9" s="15"/>
      <c r="E9" s="15"/>
      <c r="F9" s="15"/>
      <c r="G9" s="15"/>
      <c r="H9" s="3"/>
      <c r="I9" s="15">
        <f t="shared" si="0"/>
        <v>0</v>
      </c>
      <c r="J9" s="15"/>
      <c r="K9" s="18"/>
      <c r="L9" s="16"/>
    </row>
    <row r="10" spans="1:12" x14ac:dyDescent="0.3">
      <c r="A10" s="15">
        <v>8</v>
      </c>
      <c r="B10" s="14"/>
      <c r="C10" s="13"/>
      <c r="D10" s="15"/>
      <c r="E10" s="15"/>
      <c r="F10" s="15"/>
      <c r="G10" s="15"/>
      <c r="H10" s="3"/>
      <c r="I10" s="15">
        <f t="shared" si="0"/>
        <v>0</v>
      </c>
      <c r="J10" s="15"/>
      <c r="K10" s="18"/>
      <c r="L10" s="16"/>
    </row>
    <row r="11" spans="1:12" x14ac:dyDescent="0.3">
      <c r="A11" s="15">
        <v>9</v>
      </c>
      <c r="B11" s="14"/>
      <c r="C11" s="13"/>
      <c r="D11" s="15"/>
      <c r="E11" s="15"/>
      <c r="F11" s="15"/>
      <c r="G11" s="15"/>
      <c r="H11" s="3"/>
      <c r="I11" s="15">
        <f t="shared" si="0"/>
        <v>0</v>
      </c>
      <c r="J11" s="15"/>
      <c r="K11" s="18"/>
      <c r="L11" s="16"/>
    </row>
    <row r="12" spans="1:12" x14ac:dyDescent="0.3">
      <c r="A12" s="15">
        <v>10</v>
      </c>
      <c r="B12" s="14"/>
      <c r="C12" s="13"/>
      <c r="D12" s="15"/>
      <c r="E12" s="15"/>
      <c r="F12" s="15"/>
      <c r="G12" s="15"/>
      <c r="H12" s="3"/>
      <c r="I12" s="15">
        <f t="shared" si="0"/>
        <v>0</v>
      </c>
      <c r="J12" s="15"/>
      <c r="K12" s="18"/>
      <c r="L12" s="16"/>
    </row>
    <row r="13" spans="1:12" x14ac:dyDescent="0.3">
      <c r="A13" s="15">
        <v>11</v>
      </c>
      <c r="B13" s="14"/>
      <c r="C13" s="13"/>
      <c r="D13" s="15"/>
      <c r="E13" s="15"/>
      <c r="F13" s="15"/>
      <c r="G13" s="15"/>
      <c r="H13" s="3"/>
      <c r="I13" s="15">
        <f t="shared" si="0"/>
        <v>0</v>
      </c>
      <c r="J13" s="15"/>
      <c r="K13" s="18"/>
      <c r="L13" s="16"/>
    </row>
    <row r="14" spans="1:12" x14ac:dyDescent="0.3">
      <c r="A14" s="15">
        <v>12</v>
      </c>
      <c r="B14" s="14"/>
      <c r="C14" s="13"/>
      <c r="D14" s="15"/>
      <c r="E14" s="15"/>
      <c r="F14" s="15"/>
      <c r="G14" s="15"/>
      <c r="H14" s="3"/>
      <c r="I14" s="15">
        <f t="shared" si="0"/>
        <v>0</v>
      </c>
      <c r="J14" s="15"/>
      <c r="K14" s="18"/>
      <c r="L14" s="16"/>
    </row>
    <row r="15" spans="1:12" x14ac:dyDescent="0.3">
      <c r="A15" s="15">
        <v>13</v>
      </c>
      <c r="B15" s="14"/>
      <c r="C15" s="13"/>
      <c r="D15" s="15"/>
      <c r="E15" s="15"/>
      <c r="F15" s="15"/>
      <c r="G15" s="15"/>
      <c r="H15" s="3"/>
      <c r="I15" s="15">
        <f t="shared" si="0"/>
        <v>0</v>
      </c>
      <c r="J15" s="15"/>
      <c r="K15" s="18"/>
      <c r="L15" s="16"/>
    </row>
    <row r="16" spans="1:12" x14ac:dyDescent="0.3">
      <c r="A16" s="15">
        <v>14</v>
      </c>
      <c r="B16" s="14"/>
      <c r="C16" s="13"/>
      <c r="D16" s="15"/>
      <c r="E16" s="15"/>
      <c r="F16" s="15"/>
      <c r="G16" s="15"/>
      <c r="H16" s="3"/>
      <c r="I16" s="15">
        <f t="shared" si="0"/>
        <v>0</v>
      </c>
      <c r="J16" s="15"/>
      <c r="K16" s="18"/>
      <c r="L16" s="16"/>
    </row>
    <row r="17" spans="1:12" x14ac:dyDescent="0.3">
      <c r="A17" s="15">
        <v>15</v>
      </c>
      <c r="B17" s="14"/>
      <c r="C17" s="13"/>
      <c r="D17" s="15"/>
      <c r="E17" s="15"/>
      <c r="F17" s="15"/>
      <c r="G17" s="15"/>
      <c r="H17" s="3"/>
      <c r="I17" s="15">
        <f t="shared" si="0"/>
        <v>0</v>
      </c>
      <c r="J17" s="15"/>
      <c r="K17" s="18"/>
      <c r="L17" s="16"/>
    </row>
    <row r="18" spans="1:12" x14ac:dyDescent="0.3">
      <c r="A18" s="15">
        <v>16</v>
      </c>
      <c r="B18" s="14"/>
      <c r="C18" s="13"/>
      <c r="D18" s="15"/>
      <c r="E18" s="15"/>
      <c r="F18" s="15"/>
      <c r="G18" s="15"/>
      <c r="H18" s="3"/>
      <c r="I18" s="15">
        <f t="shared" si="0"/>
        <v>0</v>
      </c>
      <c r="J18" s="15"/>
      <c r="K18" s="18"/>
      <c r="L18" s="16"/>
    </row>
    <row r="19" spans="1:12" x14ac:dyDescent="0.3">
      <c r="A19" s="15">
        <v>17</v>
      </c>
      <c r="B19" s="14"/>
      <c r="C19" s="13"/>
      <c r="D19" s="15"/>
      <c r="E19" s="15"/>
      <c r="F19" s="15"/>
      <c r="G19" s="15"/>
      <c r="H19" s="3"/>
      <c r="I19" s="15">
        <f t="shared" si="0"/>
        <v>0</v>
      </c>
      <c r="J19" s="15"/>
      <c r="K19" s="18"/>
      <c r="L19" s="16"/>
    </row>
    <row r="20" spans="1:12" x14ac:dyDescent="0.3">
      <c r="A20" s="15">
        <v>18</v>
      </c>
      <c r="B20" s="14"/>
      <c r="C20" s="13"/>
      <c r="D20" s="15"/>
      <c r="E20" s="15"/>
      <c r="F20" s="15"/>
      <c r="G20" s="15"/>
      <c r="H20" s="3"/>
      <c r="I20" s="15">
        <f t="shared" si="0"/>
        <v>0</v>
      </c>
      <c r="J20" s="15"/>
      <c r="K20" s="18"/>
      <c r="L20" s="16"/>
    </row>
    <row r="21" spans="1:12" x14ac:dyDescent="0.3">
      <c r="A21" s="15">
        <v>19</v>
      </c>
      <c r="B21" s="14"/>
      <c r="C21" s="13"/>
      <c r="D21" s="15"/>
      <c r="E21" s="15"/>
      <c r="F21" s="15"/>
      <c r="G21" s="15"/>
      <c r="H21" s="3"/>
      <c r="I21" s="15">
        <f t="shared" si="0"/>
        <v>0</v>
      </c>
      <c r="J21" s="15"/>
      <c r="K21" s="18"/>
      <c r="L21" s="16"/>
    </row>
    <row r="22" spans="1:12" x14ac:dyDescent="0.3">
      <c r="A22" s="15">
        <v>20</v>
      </c>
      <c r="B22" s="14"/>
      <c r="C22" s="13"/>
      <c r="D22" s="15"/>
      <c r="E22" s="15"/>
      <c r="F22" s="15"/>
      <c r="G22" s="15"/>
      <c r="H22" s="3"/>
      <c r="I22" s="15">
        <f t="shared" si="0"/>
        <v>0</v>
      </c>
      <c r="J22" s="15"/>
      <c r="K22" s="18"/>
      <c r="L22" s="16"/>
    </row>
    <row r="23" spans="1:12" x14ac:dyDescent="0.3">
      <c r="A23" s="15">
        <v>21</v>
      </c>
      <c r="B23" s="14"/>
      <c r="C23" s="13"/>
      <c r="D23" s="15"/>
      <c r="E23" s="15"/>
      <c r="F23" s="15"/>
      <c r="G23" s="15"/>
      <c r="H23" s="3"/>
      <c r="I23" s="15">
        <f t="shared" si="0"/>
        <v>0</v>
      </c>
      <c r="J23" s="15"/>
      <c r="K23" s="18"/>
      <c r="L23" s="16"/>
    </row>
    <row r="24" spans="1:12" x14ac:dyDescent="0.3">
      <c r="A24" s="15">
        <v>22</v>
      </c>
      <c r="B24" s="14"/>
      <c r="C24" s="13"/>
      <c r="D24" s="15"/>
      <c r="E24" s="15"/>
      <c r="F24" s="15"/>
      <c r="G24" s="15"/>
      <c r="H24" s="3"/>
      <c r="I24" s="15">
        <f>F24*E24</f>
        <v>0</v>
      </c>
      <c r="J24" s="15"/>
      <c r="K24" s="18"/>
      <c r="L24" s="16"/>
    </row>
    <row r="25" spans="1:12" x14ac:dyDescent="0.3">
      <c r="A25" s="15">
        <v>23</v>
      </c>
      <c r="B25" s="14"/>
      <c r="C25" s="13"/>
      <c r="D25" s="15"/>
      <c r="E25" s="15"/>
      <c r="F25" s="15"/>
      <c r="G25" s="15"/>
      <c r="H25" s="3"/>
      <c r="I25" s="15">
        <f t="shared" si="0"/>
        <v>0</v>
      </c>
      <c r="J25" s="15"/>
      <c r="K25" s="18"/>
      <c r="L25" s="16"/>
    </row>
    <row r="26" spans="1:12" x14ac:dyDescent="0.3">
      <c r="A26" s="15">
        <v>24</v>
      </c>
      <c r="B26" s="14"/>
      <c r="C26" s="13"/>
      <c r="D26" s="15"/>
      <c r="E26" s="15"/>
      <c r="F26" s="15"/>
      <c r="G26" s="15"/>
      <c r="H26" s="3"/>
      <c r="I26" s="15">
        <f t="shared" si="0"/>
        <v>0</v>
      </c>
      <c r="J26" s="15"/>
      <c r="K26" s="18"/>
      <c r="L26" s="16"/>
    </row>
    <row r="27" spans="1:12" x14ac:dyDescent="0.3">
      <c r="A27" s="15">
        <v>25</v>
      </c>
      <c r="B27" s="14"/>
      <c r="C27" s="13"/>
      <c r="D27" s="15"/>
      <c r="E27" s="15"/>
      <c r="F27" s="15"/>
      <c r="G27" s="15"/>
      <c r="H27" s="3"/>
      <c r="I27" s="15">
        <f t="shared" si="0"/>
        <v>0</v>
      </c>
      <c r="J27" s="15"/>
      <c r="K27" s="18"/>
      <c r="L27" s="16"/>
    </row>
    <row r="28" spans="1:12" x14ac:dyDescent="0.3">
      <c r="A28" s="15">
        <v>26</v>
      </c>
      <c r="B28" s="14"/>
      <c r="C28" s="13"/>
      <c r="D28" s="15"/>
      <c r="E28" s="15"/>
      <c r="F28" s="15"/>
      <c r="G28" s="15"/>
      <c r="H28" s="3"/>
      <c r="I28" s="15">
        <f t="shared" si="0"/>
        <v>0</v>
      </c>
      <c r="J28" s="15"/>
      <c r="K28" s="18"/>
      <c r="L28" s="16"/>
    </row>
    <row r="29" spans="1:12" x14ac:dyDescent="0.3">
      <c r="A29" s="15">
        <v>27</v>
      </c>
      <c r="B29" s="14"/>
      <c r="C29" s="13"/>
      <c r="D29" s="15"/>
      <c r="E29" s="15"/>
      <c r="F29" s="15"/>
      <c r="G29" s="15"/>
      <c r="H29" s="3"/>
      <c r="I29" s="15">
        <f t="shared" si="0"/>
        <v>0</v>
      </c>
      <c r="J29" s="15"/>
      <c r="K29" s="18"/>
      <c r="L29" s="16"/>
    </row>
    <row r="30" spans="1:12" x14ac:dyDescent="0.3">
      <c r="A30" s="15">
        <v>28</v>
      </c>
      <c r="B30" s="14"/>
      <c r="C30" s="13"/>
      <c r="D30" s="15"/>
      <c r="E30" s="15"/>
      <c r="F30" s="15"/>
      <c r="G30" s="15"/>
      <c r="H30" s="3"/>
      <c r="I30" s="15">
        <f t="shared" si="0"/>
        <v>0</v>
      </c>
      <c r="J30" s="15"/>
      <c r="K30" s="18"/>
      <c r="L30" s="16"/>
    </row>
    <row r="31" spans="1:12" x14ac:dyDescent="0.3">
      <c r="A31" s="15">
        <v>29</v>
      </c>
      <c r="B31" s="14"/>
      <c r="C31" s="13"/>
      <c r="D31" s="15"/>
      <c r="E31" s="15"/>
      <c r="F31" s="15"/>
      <c r="G31" s="15"/>
      <c r="H31" s="3"/>
      <c r="I31" s="15">
        <f t="shared" si="0"/>
        <v>0</v>
      </c>
      <c r="J31" s="15"/>
      <c r="K31" s="18"/>
      <c r="L31" s="16"/>
    </row>
    <row r="32" spans="1:12" x14ac:dyDescent="0.3">
      <c r="A32" s="15">
        <v>30</v>
      </c>
      <c r="B32" s="14"/>
      <c r="C32" s="13"/>
      <c r="D32" s="15"/>
      <c r="E32" s="15"/>
      <c r="F32" s="15"/>
      <c r="G32" s="15"/>
      <c r="H32" s="3"/>
      <c r="I32" s="15">
        <f t="shared" si="0"/>
        <v>0</v>
      </c>
      <c r="J32" s="15"/>
      <c r="K32" s="18"/>
      <c r="L32" s="16"/>
    </row>
  </sheetData>
  <conditionalFormatting sqref="K3:K32">
    <cfRule type="expression" priority="1">
      <formula>$B2="approved"</formula>
    </cfRule>
  </conditionalFormatting>
  <hyperlinks>
    <hyperlink ref="H7" r:id="rId1" xr:uid="{45F219EB-CA0E-46B2-B5AC-321500547349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E04927-DBCA-4F6B-BC5C-6D6442D07CEA}">
          <x14:formula1>
            <xm:f>Background_info!$D$3:$D$30</xm:f>
          </x14:formula1>
          <xm:sqref>D3:D32</xm:sqref>
        </x14:dataValidation>
        <x14:dataValidation type="list" allowBlank="1" showInputMessage="1" showErrorMessage="1" xr:uid="{8D191F27-4E1E-4078-9DF4-BD7DE8468C2E}">
          <x14:formula1>
            <xm:f>Background_info!$B$3:$B$6</xm:f>
          </x14:formula1>
          <xm:sqref>G3:G32</xm:sqref>
        </x14:dataValidation>
        <x14:dataValidation type="list" allowBlank="1" showInputMessage="1" showErrorMessage="1" xr:uid="{0CED9412-699B-4C7D-965B-005ACFAE9885}">
          <x14:formula1>
            <xm:f>Background_info!$C$3:$C$15</xm:f>
          </x14:formula1>
          <xm:sqref>K3:K32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02BA-A80C-4BEA-8ECF-F81C395286C3}">
  <dimension ref="A1"/>
  <sheetViews>
    <sheetView workbookViewId="0">
      <selection activeCell="C3" sqref="C3"/>
    </sheetView>
  </sheetViews>
  <sheetFormatPr defaultRowHeight="14.4" x14ac:dyDescent="0.3"/>
  <sheetData>
    <row r="1" spans="1:1" x14ac:dyDescent="0.3">
      <c r="A1" s="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Background_info</vt:lpstr>
      <vt:lpstr>Main_Table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Nikolov, Aleksandar</dc:creator>
  <cp:lastModifiedBy>Nikolov, Aleksandar</cp:lastModifiedBy>
  <dcterms:created xsi:type="dcterms:W3CDTF">2026-06-04T17:17:53Z</dcterms:created>
  <dcterms:modified xsi:type="dcterms:W3CDTF">2026-06-07T15:24:32Z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116a5-35f0-4733-81bd-339106ca795f_Enabled">
    <vt:lpwstr>true</vt:lpwstr>
  </property>
  <property fmtid="{D5CDD505-2E9C-101B-9397-08002B2CF9AE}" pid="3" name="MSIP_Label_dad116a5-35f0-4733-81bd-339106ca795f_SetDate">
    <vt:lpwstr>2026-06-04T18:16:49Z</vt:lpwstr>
  </property>
  <property fmtid="{D5CDD505-2E9C-101B-9397-08002B2CF9AE}" pid="4" name="MSIP_Label_dad116a5-35f0-4733-81bd-339106ca795f_Method">
    <vt:lpwstr>Standard</vt:lpwstr>
  </property>
  <property fmtid="{D5CDD505-2E9C-101B-9397-08002B2CF9AE}" pid="5" name="MSIP_Label_dad116a5-35f0-4733-81bd-339106ca795f_Name">
    <vt:lpwstr>Sensata Internal</vt:lpwstr>
  </property>
  <property fmtid="{D5CDD505-2E9C-101B-9397-08002B2CF9AE}" pid="6" name="MSIP_Label_dad116a5-35f0-4733-81bd-339106ca795f_SiteId">
    <vt:lpwstr>8fe11266-3a2b-494f-b7ce-92bc201dc2ab</vt:lpwstr>
  </property>
  <property fmtid="{D5CDD505-2E9C-101B-9397-08002B2CF9AE}" pid="7" name="MSIP_Label_dad116a5-35f0-4733-81bd-339106ca795f_ActionId">
    <vt:lpwstr>64e217ca-fdbf-4c7a-8c53-c0ca3c81a4f5</vt:lpwstr>
  </property>
  <property fmtid="{D5CDD505-2E9C-101B-9397-08002B2CF9AE}" pid="8" name="MSIP_Label_dad116a5-35f0-4733-81bd-339106ca795f_ContentBits">
    <vt:lpwstr>0</vt:lpwstr>
  </property>
  <property fmtid="{D5CDD505-2E9C-101B-9397-08002B2CF9AE}" pid="9" name="MSIP_Label_dad116a5-35f0-4733-81bd-339106ca795f_Tag">
    <vt:lpwstr>10, 3, 0, 1</vt:lpwstr>
  </property>
</Properties>
</file>