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1_ORGO-15_P1\"/>
    </mc:Choice>
  </mc:AlternateContent>
  <xr:revisionPtr revIDLastSave="0" documentId="13_ncr:1_{F5459295-ABFB-4924-90A9-B4DB8B5C86F3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2" i="1" l="1"/>
  <c r="J32" i="1"/>
  <c r="A31" i="1"/>
  <c r="J31" i="1"/>
  <c r="J30" i="1"/>
  <c r="A30" i="1"/>
  <c r="A29" i="1"/>
  <c r="J29" i="1"/>
  <c r="J13" i="1"/>
  <c r="A13" i="1"/>
  <c r="A11" i="1"/>
  <c r="A12" i="1"/>
  <c r="A14" i="1"/>
  <c r="A15" i="1"/>
  <c r="A16" i="1"/>
  <c r="A17" i="1"/>
  <c r="A18" i="1"/>
  <c r="A19" i="1"/>
  <c r="A20" i="1"/>
  <c r="A21" i="1"/>
  <c r="A24" i="1"/>
  <c r="A25" i="1"/>
  <c r="A26" i="1"/>
  <c r="A27" i="1"/>
  <c r="A28" i="1"/>
  <c r="J23" i="1"/>
  <c r="J24" i="1"/>
  <c r="J25" i="1"/>
  <c r="J26" i="1"/>
  <c r="J27" i="1"/>
  <c r="J28" i="1"/>
  <c r="A4" i="1"/>
  <c r="A5" i="1"/>
  <c r="A6" i="1"/>
  <c r="A7" i="1"/>
  <c r="A8" i="1"/>
  <c r="A9" i="1"/>
  <c r="A10" i="1"/>
  <c r="A3" i="1"/>
  <c r="J4" i="1"/>
  <c r="J3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5" i="1"/>
</calcChain>
</file>

<file path=xl/sharedStrings.xml><?xml version="1.0" encoding="utf-8"?>
<sst xmlns="http://schemas.openxmlformats.org/spreadsheetml/2006/main" count="238" uniqueCount="133">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</sst>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5" x14ac:dyDescent="0.25"/>
  <cols>
    <col min="4" max="4" width="33.28515625" bestFit="1" customWidth="1"/>
  </cols>
  <sheetData>
    <row r="2" spans="2:4" x14ac:dyDescent="0.25">
      <c r="B2" s="4" t="s">
        <v>3</v>
      </c>
      <c r="C2" s="4" t="s">
        <v>9</v>
      </c>
      <c r="D2" s="4" t="s">
        <v>17</v>
      </c>
    </row>
    <row r="3" spans="2:4" x14ac:dyDescent="0.25">
      <c r="B3" t="s">
        <v>4</v>
      </c>
      <c r="C3" t="s">
        <v>36</v>
      </c>
      <c r="D3" t="s">
        <v>24</v>
      </c>
    </row>
    <row r="4" spans="2:4" x14ac:dyDescent="0.25">
      <c r="B4" t="s">
        <v>6</v>
      </c>
      <c r="C4" t="s">
        <v>10</v>
      </c>
      <c r="D4" t="s">
        <v>18</v>
      </c>
    </row>
    <row r="5" spans="2:4" x14ac:dyDescent="0.25">
      <c r="B5" t="s">
        <v>5</v>
      </c>
      <c r="C5" t="s">
        <v>11</v>
      </c>
      <c r="D5" t="s">
        <v>19</v>
      </c>
    </row>
    <row r="6" spans="2:4" x14ac:dyDescent="0.25">
      <c r="B6" t="s">
        <v>7</v>
      </c>
      <c r="C6" t="s">
        <v>12</v>
      </c>
      <c r="D6" t="s">
        <v>25</v>
      </c>
    </row>
    <row r="7" spans="2:4" x14ac:dyDescent="0.25">
      <c r="C7" t="s">
        <v>13</v>
      </c>
      <c r="D7" t="s">
        <v>26</v>
      </c>
    </row>
    <row r="8" spans="2:4" x14ac:dyDescent="0.25">
      <c r="D8" t="s">
        <v>27</v>
      </c>
    </row>
    <row r="9" spans="2:4" x14ac:dyDescent="0.25">
      <c r="D9" t="s">
        <v>28</v>
      </c>
    </row>
    <row r="10" spans="2:4" x14ac:dyDescent="0.25">
      <c r="D10" t="s">
        <v>29</v>
      </c>
    </row>
    <row r="11" spans="2:4" x14ac:dyDescent="0.25">
      <c r="D11" t="s">
        <v>30</v>
      </c>
    </row>
    <row r="12" spans="2:4" x14ac:dyDescent="0.25">
      <c r="D12" t="s">
        <v>31</v>
      </c>
    </row>
    <row r="13" spans="2:4" x14ac:dyDescent="0.25">
      <c r="D13" t="s">
        <v>20</v>
      </c>
    </row>
    <row r="14" spans="2:4" x14ac:dyDescent="0.25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32"/>
  <sheetViews>
    <sheetView tabSelected="1" topLeftCell="A6" zoomScale="115" zoomScaleNormal="115" workbookViewId="0">
      <selection activeCell="C33" sqref="C33"/>
    </sheetView>
  </sheetViews>
  <sheetFormatPr defaultColWidth="8.85546875" defaultRowHeight="15" x14ac:dyDescent="0.25"/>
  <cols>
    <col min="1" max="1" width="3" style="1" bestFit="1" customWidth="1"/>
    <col min="2" max="2" width="37.7109375" style="7" customWidth="1"/>
    <col min="3" max="3" width="57.7109375" style="2" customWidth="1"/>
    <col min="4" max="4" width="37.7109375" style="1" bestFit="1" customWidth="1"/>
    <col min="5" max="7" width="8.85546875" style="1"/>
    <col min="8" max="8" width="4.42578125" style="1" bestFit="1" customWidth="1"/>
    <col min="9" max="9" width="12.28515625" style="1" bestFit="1" customWidth="1"/>
    <col min="10" max="10" width="12.28515625" style="1" customWidth="1"/>
    <col min="11" max="11" width="9.42578125" style="1" bestFit="1" customWidth="1"/>
    <col min="12" max="12" width="8.85546875" style="1"/>
    <col min="13" max="13" width="48" style="17" customWidth="1"/>
    <col min="14" max="16384" width="8.85546875" style="2"/>
  </cols>
  <sheetData>
    <row r="1" spans="1:13" x14ac:dyDescent="0.25">
      <c r="A1" s="5" t="s">
        <v>23</v>
      </c>
      <c r="C1" s="6"/>
      <c r="M1" s="2"/>
    </row>
    <row r="2" spans="1:13" ht="27" customHeight="1" x14ac:dyDescent="0.25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25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25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3" x14ac:dyDescent="0.25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3" x14ac:dyDescent="0.25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2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3" x14ac:dyDescent="0.25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3" x14ac:dyDescent="0.25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6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3" x14ac:dyDescent="0.25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7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3" ht="45" x14ac:dyDescent="0.25">
      <c r="A10" s="15">
        <f>IF(B10&lt;&gt;"",COUNTA($B$3:B10),"")</f>
        <v>8</v>
      </c>
      <c r="B10" s="20" t="s">
        <v>60</v>
      </c>
      <c r="C10" s="13" t="s">
        <v>64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63</v>
      </c>
      <c r="J10" s="15">
        <f t="shared" si="0"/>
        <v>35.39</v>
      </c>
      <c r="K10" s="15" t="s">
        <v>61</v>
      </c>
      <c r="L10" s="18" t="s">
        <v>36</v>
      </c>
      <c r="M10" s="21" t="s">
        <v>62</v>
      </c>
    </row>
    <row r="11" spans="1:13" x14ac:dyDescent="0.25">
      <c r="A11" s="15">
        <f>IF(B11&lt;&gt;"",COUNTA($B$3:B11),"")</f>
        <v>9</v>
      </c>
      <c r="B11" s="22" t="s">
        <v>65</v>
      </c>
      <c r="C11" s="13" t="s">
        <v>65</v>
      </c>
      <c r="D11" s="15" t="s">
        <v>28</v>
      </c>
      <c r="E11" s="15"/>
      <c r="F11" s="15"/>
      <c r="G11" s="15">
        <v>1</v>
      </c>
      <c r="H11" s="15"/>
      <c r="I11" s="3"/>
      <c r="J11" s="15">
        <f t="shared" si="0"/>
        <v>0</v>
      </c>
      <c r="K11" s="15"/>
      <c r="L11" s="18" t="s">
        <v>36</v>
      </c>
      <c r="M11" s="16"/>
    </row>
    <row r="12" spans="1:13" x14ac:dyDescent="0.25">
      <c r="A12" s="15">
        <f>IF(B12&lt;&gt;"",COUNTA($B$3:B12),"")</f>
        <v>10</v>
      </c>
      <c r="B12" s="14" t="s">
        <v>72</v>
      </c>
      <c r="C12" s="13" t="s">
        <v>66</v>
      </c>
      <c r="D12" s="15" t="s">
        <v>19</v>
      </c>
      <c r="E12" s="15">
        <v>60.75</v>
      </c>
      <c r="F12" s="15">
        <v>0</v>
      </c>
      <c r="G12" s="15">
        <v>4</v>
      </c>
      <c r="H12" s="15" t="s">
        <v>4</v>
      </c>
      <c r="I12" s="3" t="s">
        <v>88</v>
      </c>
      <c r="J12" s="15">
        <f t="shared" si="0"/>
        <v>243</v>
      </c>
      <c r="K12" s="15" t="s">
        <v>122</v>
      </c>
      <c r="L12" s="18" t="s">
        <v>36</v>
      </c>
      <c r="M12" s="16"/>
    </row>
    <row r="13" spans="1:13" x14ac:dyDescent="0.25">
      <c r="A13" s="15">
        <f>IF(B13&lt;&gt;"",COUNTA($B$3:B13),"")</f>
        <v>11</v>
      </c>
      <c r="B13" s="14" t="s">
        <v>120</v>
      </c>
      <c r="C13" s="13" t="s">
        <v>118</v>
      </c>
      <c r="D13" s="15" t="s">
        <v>18</v>
      </c>
      <c r="E13" s="15">
        <v>16.45</v>
      </c>
      <c r="F13" s="15">
        <v>0</v>
      </c>
      <c r="G13" s="15">
        <v>2</v>
      </c>
      <c r="H13" s="15" t="s">
        <v>4</v>
      </c>
      <c r="I13" s="3" t="s">
        <v>119</v>
      </c>
      <c r="J13" s="15">
        <f t="shared" si="0"/>
        <v>32.9</v>
      </c>
      <c r="K13" s="15" t="s">
        <v>61</v>
      </c>
      <c r="L13" s="18" t="s">
        <v>36</v>
      </c>
      <c r="M13" s="16" t="s">
        <v>121</v>
      </c>
    </row>
    <row r="14" spans="1:13" x14ac:dyDescent="0.25">
      <c r="A14" s="15">
        <f>IF(B14&lt;&gt;"",COUNTA($B$3:B14),"")</f>
        <v>12</v>
      </c>
      <c r="B14" s="14" t="s">
        <v>71</v>
      </c>
      <c r="C14" s="13" t="s">
        <v>67</v>
      </c>
      <c r="D14" s="15" t="s">
        <v>19</v>
      </c>
      <c r="E14" s="15"/>
      <c r="F14" s="15"/>
      <c r="G14" s="15">
        <v>1</v>
      </c>
      <c r="H14" s="15"/>
      <c r="I14" s="3"/>
      <c r="J14" s="15">
        <f t="shared" si="0"/>
        <v>0</v>
      </c>
      <c r="K14" s="15"/>
      <c r="L14" s="18" t="s">
        <v>36</v>
      </c>
      <c r="M14" s="16"/>
    </row>
    <row r="15" spans="1:13" x14ac:dyDescent="0.25">
      <c r="A15" s="15">
        <f>IF(B15&lt;&gt;"",COUNTA($B$3:B15),"")</f>
        <v>13</v>
      </c>
      <c r="B15" s="13" t="s">
        <v>73</v>
      </c>
      <c r="C15" s="13" t="s">
        <v>74</v>
      </c>
      <c r="D15" s="15" t="s">
        <v>25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3" x14ac:dyDescent="0.25">
      <c r="A16" s="15">
        <f>IF(B16&lt;&gt;"",COUNTA($B$3:B16),"")</f>
        <v>14</v>
      </c>
      <c r="B16" s="14" t="s">
        <v>68</v>
      </c>
      <c r="C16" s="13" t="s">
        <v>86</v>
      </c>
      <c r="D16" s="15" t="s">
        <v>18</v>
      </c>
      <c r="E16" s="15">
        <v>44.99</v>
      </c>
      <c r="F16" s="15">
        <v>19</v>
      </c>
      <c r="G16" s="15">
        <v>4</v>
      </c>
      <c r="H16" s="15" t="s">
        <v>4</v>
      </c>
      <c r="I16" s="3" t="s">
        <v>91</v>
      </c>
      <c r="J16" s="15">
        <f t="shared" si="0"/>
        <v>198.96</v>
      </c>
      <c r="K16" s="15" t="s">
        <v>117</v>
      </c>
      <c r="L16" s="18" t="s">
        <v>36</v>
      </c>
      <c r="M16" s="16"/>
    </row>
    <row r="17" spans="1:13" x14ac:dyDescent="0.25">
      <c r="A17" s="15">
        <f>IF(B17&lt;&gt;"",COUNTA($B$3:B17),"")</f>
        <v>15</v>
      </c>
      <c r="B17" s="14" t="s">
        <v>84</v>
      </c>
      <c r="C17" s="13" t="s">
        <v>85</v>
      </c>
      <c r="D17" s="15" t="s">
        <v>25</v>
      </c>
      <c r="E17" s="15">
        <v>49.95</v>
      </c>
      <c r="F17" s="15">
        <v>14.9</v>
      </c>
      <c r="G17" s="15">
        <v>1</v>
      </c>
      <c r="H17" s="15" t="s">
        <v>4</v>
      </c>
      <c r="I17" s="3" t="s">
        <v>89</v>
      </c>
      <c r="J17" s="15">
        <f t="shared" si="0"/>
        <v>64.850000000000009</v>
      </c>
      <c r="K17" s="15" t="s">
        <v>112</v>
      </c>
      <c r="L17" s="18" t="s">
        <v>36</v>
      </c>
      <c r="M17" s="16" t="s">
        <v>116</v>
      </c>
    </row>
    <row r="18" spans="1:13" x14ac:dyDescent="0.25">
      <c r="A18" s="15">
        <f>IF(B18&lt;&gt;"",COUNTA($B$3:B18),"")</f>
        <v>16</v>
      </c>
      <c r="B18" s="14" t="s">
        <v>69</v>
      </c>
      <c r="C18" s="13" t="s">
        <v>83</v>
      </c>
      <c r="D18" s="15" t="s">
        <v>25</v>
      </c>
      <c r="E18" s="15"/>
      <c r="F18" s="15"/>
      <c r="G18" s="15">
        <v>1</v>
      </c>
      <c r="H18" s="15"/>
      <c r="I18" s="3"/>
      <c r="J18" s="15">
        <f t="shared" si="0"/>
        <v>0</v>
      </c>
      <c r="K18" s="15"/>
      <c r="L18" s="18" t="s">
        <v>36</v>
      </c>
      <c r="M18" s="16"/>
    </row>
    <row r="19" spans="1:13" x14ac:dyDescent="0.25">
      <c r="A19" s="15">
        <f>IF(B19&lt;&gt;"",COUNTA($B$3:B19),"")</f>
        <v>17</v>
      </c>
      <c r="B19" s="14" t="s">
        <v>94</v>
      </c>
      <c r="C19" s="13" t="s">
        <v>75</v>
      </c>
      <c r="D19" s="15" t="s">
        <v>30</v>
      </c>
      <c r="E19" s="15">
        <v>13.1</v>
      </c>
      <c r="F19" s="15">
        <v>0</v>
      </c>
      <c r="G19" s="15">
        <v>1</v>
      </c>
      <c r="H19" s="15" t="s">
        <v>4</v>
      </c>
      <c r="I19" s="3" t="s">
        <v>93</v>
      </c>
      <c r="J19" s="15">
        <f t="shared" si="0"/>
        <v>13.1</v>
      </c>
      <c r="K19" s="15" t="s">
        <v>61</v>
      </c>
      <c r="L19" s="18" t="s">
        <v>36</v>
      </c>
      <c r="M19" s="16" t="s">
        <v>92</v>
      </c>
    </row>
    <row r="20" spans="1:13" x14ac:dyDescent="0.25">
      <c r="A20" s="15">
        <f>IF(B20&lt;&gt;"",COUNTA($B$3:B20),"")</f>
        <v>18</v>
      </c>
      <c r="B20" s="14" t="s">
        <v>96</v>
      </c>
      <c r="C20" s="13" t="s">
        <v>75</v>
      </c>
      <c r="D20" s="15" t="s">
        <v>30</v>
      </c>
      <c r="E20" s="15">
        <v>7.04</v>
      </c>
      <c r="F20" s="15">
        <v>0</v>
      </c>
      <c r="G20" s="15">
        <v>1</v>
      </c>
      <c r="H20" s="15" t="s">
        <v>4</v>
      </c>
      <c r="I20" s="3" t="s">
        <v>97</v>
      </c>
      <c r="J20" s="15">
        <f t="shared" si="0"/>
        <v>7.04</v>
      </c>
      <c r="K20" s="15" t="s">
        <v>61</v>
      </c>
      <c r="L20" s="18" t="s">
        <v>36</v>
      </c>
      <c r="M20" s="16" t="s">
        <v>95</v>
      </c>
    </row>
    <row r="21" spans="1:13" x14ac:dyDescent="0.25">
      <c r="A21" s="15">
        <f>IF(B21&lt;&gt;"",COUNTA($B$3:B21),"")</f>
        <v>19</v>
      </c>
      <c r="B21" s="14" t="s">
        <v>98</v>
      </c>
      <c r="C21" s="13" t="s">
        <v>105</v>
      </c>
      <c r="D21" s="15" t="s">
        <v>30</v>
      </c>
      <c r="E21" s="15">
        <v>14.81</v>
      </c>
      <c r="F21" s="15">
        <v>0</v>
      </c>
      <c r="G21" s="15">
        <v>1</v>
      </c>
      <c r="H21" s="15" t="s">
        <v>4</v>
      </c>
      <c r="I21" s="3" t="s">
        <v>102</v>
      </c>
      <c r="J21" s="15">
        <f t="shared" si="0"/>
        <v>14.81</v>
      </c>
      <c r="K21" s="15" t="s">
        <v>61</v>
      </c>
      <c r="L21" s="18" t="s">
        <v>36</v>
      </c>
      <c r="M21" s="16" t="s">
        <v>90</v>
      </c>
    </row>
    <row r="22" spans="1:13" x14ac:dyDescent="0.25">
      <c r="A22" s="15">
        <v>19</v>
      </c>
      <c r="B22" s="14" t="s">
        <v>106</v>
      </c>
      <c r="C22" s="13" t="s">
        <v>104</v>
      </c>
      <c r="D22" s="15" t="s">
        <v>30</v>
      </c>
      <c r="E22" s="15">
        <v>6.61</v>
      </c>
      <c r="F22" s="15">
        <v>0</v>
      </c>
      <c r="G22" s="15">
        <v>1</v>
      </c>
      <c r="H22" s="15"/>
      <c r="I22" s="3" t="s">
        <v>103</v>
      </c>
      <c r="J22" s="15">
        <f t="shared" si="0"/>
        <v>6.61</v>
      </c>
      <c r="K22" s="15" t="s">
        <v>61</v>
      </c>
      <c r="L22" s="18" t="s">
        <v>36</v>
      </c>
      <c r="M22" s="16" t="s">
        <v>90</v>
      </c>
    </row>
    <row r="23" spans="1:13" ht="12.75" customHeight="1" x14ac:dyDescent="0.25">
      <c r="A23" s="15">
        <v>19</v>
      </c>
      <c r="B23" s="7" t="s">
        <v>100</v>
      </c>
      <c r="C23" s="13" t="s">
        <v>101</v>
      </c>
      <c r="D23" s="15" t="s">
        <v>30</v>
      </c>
      <c r="E23" s="15">
        <v>8.66</v>
      </c>
      <c r="F23" s="15">
        <v>0</v>
      </c>
      <c r="G23" s="15">
        <v>1</v>
      </c>
      <c r="H23" s="15" t="s">
        <v>4</v>
      </c>
      <c r="I23" s="13" t="s">
        <v>99</v>
      </c>
      <c r="J23" s="15">
        <f t="shared" ref="J23:J28" si="1">(G23*E23)+F23</f>
        <v>8.66</v>
      </c>
      <c r="K23" s="15" t="s">
        <v>61</v>
      </c>
      <c r="L23" s="18" t="s">
        <v>36</v>
      </c>
      <c r="M23" s="16"/>
    </row>
    <row r="24" spans="1:13" x14ac:dyDescent="0.25">
      <c r="A24" s="15">
        <f>IF(B24&lt;&gt;"",COUNTA($B$3:B24),"")</f>
        <v>22</v>
      </c>
      <c r="B24" s="23" t="s">
        <v>76</v>
      </c>
      <c r="C24" s="13" t="s">
        <v>70</v>
      </c>
      <c r="D24" s="15" t="s">
        <v>30</v>
      </c>
      <c r="E24" s="15"/>
      <c r="F24" s="15"/>
      <c r="G24" s="15">
        <v>4</v>
      </c>
      <c r="H24" s="15"/>
      <c r="I24" s="3"/>
      <c r="J24" s="15">
        <f t="shared" si="1"/>
        <v>0</v>
      </c>
      <c r="K24" s="15"/>
      <c r="L24" s="18" t="s">
        <v>36</v>
      </c>
      <c r="M24" s="16"/>
    </row>
    <row r="25" spans="1:13" x14ac:dyDescent="0.25">
      <c r="A25" s="15">
        <f>IF(B25&lt;&gt;"",COUNTA($B$3:B25),"")</f>
        <v>23</v>
      </c>
      <c r="B25" s="13" t="s">
        <v>108</v>
      </c>
      <c r="C25" s="13" t="s">
        <v>77</v>
      </c>
      <c r="D25" s="15" t="s">
        <v>18</v>
      </c>
      <c r="E25" s="15">
        <v>170.89</v>
      </c>
      <c r="F25" s="15">
        <v>0</v>
      </c>
      <c r="G25" s="15">
        <v>1</v>
      </c>
      <c r="H25" s="15" t="s">
        <v>4</v>
      </c>
      <c r="I25" s="3" t="s">
        <v>107</v>
      </c>
      <c r="J25" s="15">
        <f t="shared" si="1"/>
        <v>170.89</v>
      </c>
      <c r="K25" s="15" t="s">
        <v>109</v>
      </c>
      <c r="L25" s="18" t="s">
        <v>36</v>
      </c>
      <c r="M25" s="16" t="s">
        <v>110</v>
      </c>
    </row>
    <row r="26" spans="1:13" x14ac:dyDescent="0.25">
      <c r="A26" s="15">
        <f>IF(B26&lt;&gt;"",COUNTA($B$3:B26),"")</f>
        <v>24</v>
      </c>
      <c r="B26" s="13" t="s">
        <v>81</v>
      </c>
      <c r="C26" s="13" t="s">
        <v>82</v>
      </c>
      <c r="D26" s="15" t="s">
        <v>19</v>
      </c>
      <c r="E26" s="15">
        <v>31.9</v>
      </c>
      <c r="F26" s="15">
        <v>0</v>
      </c>
      <c r="G26" s="15">
        <v>1</v>
      </c>
      <c r="H26" s="15" t="s">
        <v>4</v>
      </c>
      <c r="I26" s="3" t="s">
        <v>111</v>
      </c>
      <c r="J26" s="15">
        <f t="shared" si="1"/>
        <v>31.9</v>
      </c>
      <c r="K26" s="15"/>
      <c r="L26" s="18" t="s">
        <v>36</v>
      </c>
      <c r="M26" s="16" t="s">
        <v>115</v>
      </c>
    </row>
    <row r="27" spans="1:13" x14ac:dyDescent="0.25">
      <c r="A27" s="15">
        <f>IF(B27&lt;&gt;"",COUNTA($B$3:B27),"")</f>
        <v>25</v>
      </c>
      <c r="B27" s="13" t="s">
        <v>78</v>
      </c>
      <c r="C27" s="13" t="s">
        <v>79</v>
      </c>
      <c r="D27" s="15" t="s">
        <v>28</v>
      </c>
      <c r="E27" s="15">
        <v>55.41</v>
      </c>
      <c r="F27" s="15">
        <v>0</v>
      </c>
      <c r="G27" s="15">
        <v>1</v>
      </c>
      <c r="H27" s="15" t="s">
        <v>4</v>
      </c>
      <c r="I27" s="3" t="s">
        <v>113</v>
      </c>
      <c r="J27" s="15">
        <f t="shared" si="1"/>
        <v>55.41</v>
      </c>
      <c r="K27" s="15" t="s">
        <v>112</v>
      </c>
      <c r="L27" s="18" t="s">
        <v>36</v>
      </c>
      <c r="M27" s="16" t="s">
        <v>114</v>
      </c>
    </row>
    <row r="28" spans="1:13" x14ac:dyDescent="0.25">
      <c r="A28" s="15">
        <f>IF(B28&lt;&gt;"",COUNTA($B$3:B28),"")</f>
        <v>26</v>
      </c>
      <c r="B28" s="13" t="s">
        <v>80</v>
      </c>
      <c r="C28" s="13" t="s">
        <v>87</v>
      </c>
      <c r="D28" s="15" t="s">
        <v>25</v>
      </c>
      <c r="E28" s="15"/>
      <c r="F28" s="15"/>
      <c r="G28" s="15">
        <v>1</v>
      </c>
      <c r="H28" s="15"/>
      <c r="I28" s="3"/>
      <c r="J28" s="15">
        <f t="shared" si="1"/>
        <v>0</v>
      </c>
      <c r="K28" s="15"/>
      <c r="L28" s="18" t="s">
        <v>36</v>
      </c>
      <c r="M28" s="16"/>
    </row>
    <row r="29" spans="1:13" x14ac:dyDescent="0.25">
      <c r="A29" s="15">
        <f>IF(B29&lt;&gt;"",COUNTA($B$3:B29),"")</f>
        <v>27</v>
      </c>
      <c r="B29" s="24" t="s">
        <v>128</v>
      </c>
      <c r="C29" s="24" t="s">
        <v>123</v>
      </c>
      <c r="D29" s="15" t="s">
        <v>25</v>
      </c>
      <c r="E29" s="28">
        <v>6.99</v>
      </c>
      <c r="F29" s="15"/>
      <c r="G29" s="15">
        <v>4</v>
      </c>
      <c r="H29" s="15" t="s">
        <v>4</v>
      </c>
      <c r="I29" s="25" t="s">
        <v>126</v>
      </c>
      <c r="J29" s="15">
        <f t="shared" ref="J29" si="2">(G29*E29)+F29</f>
        <v>27.96</v>
      </c>
      <c r="K29" s="15"/>
      <c r="L29" s="18" t="s">
        <v>36</v>
      </c>
      <c r="M29" s="16"/>
    </row>
    <row r="30" spans="1:13" x14ac:dyDescent="0.25">
      <c r="A30" s="15">
        <f>IF(B30&lt;&gt;"",COUNTA($B$3:B30),"")</f>
        <v>28</v>
      </c>
      <c r="B30" s="24" t="s">
        <v>127</v>
      </c>
      <c r="C30" s="24" t="s">
        <v>124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5" t="s">
        <v>125</v>
      </c>
      <c r="J30" s="15">
        <f t="shared" ref="J30" si="3">(G30*E30)+F30</f>
        <v>14.38</v>
      </c>
      <c r="K30" s="15"/>
      <c r="L30" s="18" t="s">
        <v>36</v>
      </c>
      <c r="M30" s="16"/>
    </row>
    <row r="31" spans="1:13" x14ac:dyDescent="0.25">
      <c r="A31" s="15">
        <f>IF(B31&lt;&gt;"",COUNTA($B$3:B31),"")</f>
        <v>29</v>
      </c>
      <c r="B31" s="24" t="s">
        <v>129</v>
      </c>
      <c r="C31" s="24" t="s">
        <v>124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5" t="s">
        <v>125</v>
      </c>
      <c r="J31" s="15">
        <f t="shared" ref="J31" si="4">(G31*E31)+F31</f>
        <v>14.38</v>
      </c>
      <c r="K31" s="15"/>
      <c r="L31" s="18" t="s">
        <v>36</v>
      </c>
      <c r="M31" s="16"/>
    </row>
    <row r="32" spans="1:13" x14ac:dyDescent="0.25">
      <c r="A32" s="15">
        <f>IF(B32&lt;&gt;"",COUNTA($B$3:B32),"")</f>
        <v>30</v>
      </c>
      <c r="B32" s="24" t="s">
        <v>131</v>
      </c>
      <c r="C32" s="24" t="s">
        <v>132</v>
      </c>
      <c r="D32" s="15" t="s">
        <v>25</v>
      </c>
      <c r="E32" s="15">
        <v>4.8899999999999997</v>
      </c>
      <c r="F32" s="15"/>
      <c r="G32" s="15">
        <v>1</v>
      </c>
      <c r="H32" s="15" t="s">
        <v>4</v>
      </c>
      <c r="I32" s="25" t="s">
        <v>130</v>
      </c>
      <c r="J32" s="15">
        <f t="shared" ref="J32" si="5">(G32*E32)+F32</f>
        <v>4.8899999999999997</v>
      </c>
      <c r="K32" s="15"/>
      <c r="L32" s="18" t="s">
        <v>36</v>
      </c>
      <c r="M32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32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D3:D32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H3:H32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5" x14ac:dyDescent="0.25"/>
  <sheetData>
    <row r="1" spans="1:1" x14ac:dyDescent="0.25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2026-06-04T17:17:53Z</dcterms:created>
  <dcterms:modified xsi:type="dcterms:W3CDTF">2026-07-18T13:52:28Z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