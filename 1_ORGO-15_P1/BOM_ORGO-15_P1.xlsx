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Projects\ORGOfly\ORGOfly-CAD-model\1_ORGO-15_P1\"/>
    </mc:Choice>
  </mc:AlternateContent>
  <xr:revisionPtr revIDLastSave="0" documentId="13_ncr:1_{907A97BC-A127-40F9-90B8-4234044E0AF3}" xr6:coauthVersionLast="47" xr6:coauthVersionMax="47" xr10:uidLastSave="{00000000-0000-0000-0000-000000000000}"/>
  <bookViews>
    <workbookView xWindow="-120" yWindow="-120" windowWidth="29040" windowHeight="15720" firstSheet="1" activeTab="1" xr2:uid="{EEE73C29-3BDB-49EB-9C57-2FAD514C20AA}"/>
  </bookViews>
  <sheets>
    <sheet name="Background_info" sheetId="2" state="hidden" r:id="rId1"/>
    <sheet name="Main_Table" sheetId="1" r:id="rId2"/>
    <sheet name="Tota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9" i="1" l="1"/>
  <c r="A11" i="1"/>
  <c r="A12" i="1"/>
  <c r="A13" i="1"/>
  <c r="A14" i="1"/>
  <c r="A15" i="1"/>
  <c r="A16" i="1"/>
  <c r="A17" i="1"/>
  <c r="A18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J28" i="1"/>
  <c r="J29" i="1"/>
  <c r="J30" i="1"/>
  <c r="J31" i="1"/>
  <c r="J32" i="1"/>
  <c r="J33" i="1"/>
  <c r="J34" i="1"/>
  <c r="J35" i="1"/>
  <c r="A4" i="1"/>
  <c r="A5" i="1"/>
  <c r="A6" i="1"/>
  <c r="A7" i="1"/>
  <c r="A8" i="1"/>
  <c r="A9" i="1"/>
  <c r="A10" i="1"/>
  <c r="A3" i="1"/>
  <c r="J4" i="1"/>
  <c r="J3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0" i="1"/>
  <c r="J21" i="1"/>
  <c r="J22" i="1"/>
  <c r="J23" i="1"/>
  <c r="J24" i="1"/>
  <c r="J25" i="1"/>
  <c r="J26" i="1"/>
  <c r="J27" i="1"/>
  <c r="J5" i="1"/>
</calcChain>
</file>

<file path=xl/sharedStrings.xml><?xml version="1.0" encoding="utf-8"?>
<sst xmlns="http://schemas.openxmlformats.org/spreadsheetml/2006/main" count="218" uniqueCount="113">
  <si>
    <t>#</t>
  </si>
  <si>
    <t>Domain</t>
  </si>
  <si>
    <t>Quantity</t>
  </si>
  <si>
    <t>Unit</t>
  </si>
  <si>
    <t>pcs</t>
  </si>
  <si>
    <t>kg</t>
  </si>
  <si>
    <t>meters</t>
  </si>
  <si>
    <t>sheets</t>
  </si>
  <si>
    <t>Supplier/Link</t>
  </si>
  <si>
    <t>Status</t>
  </si>
  <si>
    <t>approved</t>
  </si>
  <si>
    <t>ordered</t>
  </si>
  <si>
    <t>received</t>
  </si>
  <si>
    <t>rejected</t>
  </si>
  <si>
    <t>Notes</t>
  </si>
  <si>
    <t>Item Name</t>
  </si>
  <si>
    <t>Item Description</t>
  </si>
  <si>
    <t>Subsystem</t>
  </si>
  <si>
    <t>Propulsion</t>
  </si>
  <si>
    <t>Power</t>
  </si>
  <si>
    <t>Business</t>
  </si>
  <si>
    <t>Other</t>
  </si>
  <si>
    <t>Lead Time</t>
  </si>
  <si>
    <t>Please add components here only after selection process has been finished!</t>
  </si>
  <si>
    <t>Airframe and Structures</t>
  </si>
  <si>
    <t>Flight Control and Avionics</t>
  </si>
  <si>
    <t>Control Surfaces and Mechanisms</t>
  </si>
  <si>
    <t>Payload and Medical Transport System</t>
  </si>
  <si>
    <t>Communications and Ground Equipment</t>
  </si>
  <si>
    <t>Manufacturing and prototyping</t>
  </si>
  <si>
    <t>Fasteners and Consumables</t>
  </si>
  <si>
    <t>Testing and Safety Equipment</t>
  </si>
  <si>
    <t xml:space="preserve">OrgoFly Domain </t>
  </si>
  <si>
    <t>n/a</t>
  </si>
  <si>
    <t>Total price (€)</t>
  </si>
  <si>
    <t>Price (€)</t>
  </si>
  <si>
    <t>pending</t>
  </si>
  <si>
    <t>CF Tube 22x20mm</t>
  </si>
  <si>
    <t>PA6+CF filament</t>
  </si>
  <si>
    <t>Under development</t>
  </si>
  <si>
    <t>CF Tube 6x4mm</t>
  </si>
  <si>
    <t>CF Tube 20x18mm</t>
  </si>
  <si>
    <t>CF Tube 14x12mm</t>
  </si>
  <si>
    <t>x600mm</t>
  </si>
  <si>
    <t>https://www.aliexpress.com/item/1005010236031978.html?spm=a2g0o.productlist.main.6.b8402725vCj7PA&amp;algo_pvid=4d2bc5eb-91ce-454c-aea9-c9354bd4e78a&amp;algo_exp_id=4d2bc5eb-91ce-454c-aea9-c9354bd4e78a-5&amp;pdp_ext_f=%7B%22order%22%3A%22121%22%2C%22eval%22%3A%221%22%2C%22fromPage%22%3A%22search%22%7D&amp;pdp_npi=6%40dis%21EUR%2113.98%2113.80%21%21%21107.09%21105.71%21%40210156fc17817122154447423e1477%2112000051637131957%21sea%21BG%21892667464%21ABX%211%210%21n_tag%3A-29910%3Bd%3Ab8d743bc%3Bm03_new_user%3A-29895%3BpisId%3A5000000205243253&amp;curPageLogUid=qunWAbdJt5rE&amp;utparam-url=scene%3Asearch%7Cquery_from%3A%7Cx_object_id%3A1005010236031978%7C_p_origin_prod%3A</t>
  </si>
  <si>
    <t>10-22days</t>
  </si>
  <si>
    <t>around 580mm needed per side</t>
  </si>
  <si>
    <t>around 550mm needed per side</t>
  </si>
  <si>
    <t>x250mm</t>
  </si>
  <si>
    <t>9-17days</t>
  </si>
  <si>
    <t xml:space="preserve">around 180mm needed for the center </t>
  </si>
  <si>
    <t>https://www.aliexpress.com/item/1005010148436160.html?spm=a2g0o.productlist.main.39.b8402725vCj7PA&amp;algo_pvid=4d2bc5eb-91ce-454c-aea9-c9354bd4e78a&amp;algo_exp_id=4d2bc5eb-91ce-454c-aea9-c9354bd4e78a-36&amp;pdp_ext_f=%7B%22order%22%3A%22250%22%2C%22eval%22%3A%221%22%2C%22fromPage%22%3A%22search%22%7D&amp;pdp_npi=6%40dis%21EUR%213.82%213.54%21%21%2129.28%2127.10%21%40210156fc17817122154447423e1477%2112000051321995472%21sea%21BG%21892667464%21ABX%211%210%21n_tag%3A-29910%3Bd%3Ab8d743bc%3Bm03_new_user%3A-29895&amp;curPageLogUid=BGm65imvYIav&amp;utparam-url=scene%3Asearch%7Cquery_from%3A%7Cx_object_id%3A1005010148436160%7C_p_origin_prod%3A</t>
  </si>
  <si>
    <t>x1000mm</t>
  </si>
  <si>
    <t>around 1000mm needed for the fuselage</t>
  </si>
  <si>
    <t>Delivery price (€)</t>
  </si>
  <si>
    <t>https://www.aliexpress.com/item/1005010143347787.html?spm=a2g0o.productlist.main.55.b8402725vCj7PA&amp;algo_pvid=4d2bc5eb-91ce-454c-aea9-c9354bd4e78a&amp;algo_exp_id=4d2bc5eb-91ce-454c-aea9-c9354bd4e78a-50&amp;pdp_ext_f=%7B%22order%22%3A%22410%22%2C%22eval%22%3A%221%22%2C%22fromPage%22%3A%22search%22%7D&amp;pdp_npi=6%40dis%21EUR%219.24%219.06%21%21%2110.48%2110.28%21%40210156fc17817122154447423e1477%2112000051302007489%21sea%21BG%21892667464%21ABX%211%210%21n_tag%3A-29910%3Bd%3Ab8d743bc%3Bm03_new_user%3A-29895%3BpisId%3A5000000205243253&amp;curPageLogUid=mLmDLRaNPLxT&amp;utparam-url=scene%3Asearch%7Cquery_from%3A%7Cx_object_id%3A1005010143347787%7C_p_origin_prod%3A</t>
  </si>
  <si>
    <t>25days</t>
  </si>
  <si>
    <t>https://www.aliexpress.com/item/1005010143310151.html?spm=a2g0o.productlist.main.3.26867c47eNIIX8&amp;algo_pvid=a0a1c9bc-aaa9-43aa-905d-66f8a77d08a7&amp;algo_exp_id=a0a1c9bc-aaa9-43aa-905d-66f8a77d08a7-2&amp;pdp_ext_f=%7B%22order%22%3A%22230%22%2C%22eval%22%3A%221%22%2C%22fromPage%22%3A%22search%22%7D&amp;pdp_npi=6%40dis%21EUR%2138.62%2138.44%21%21%2143.80%2143.60%21%40212e508f17817230884093688e2c48%2112000051359404635%21sea%21BG%21892667464%21ABX%211%210%21n_tag%3A-29910%3Bd%3Ab8d743bc%3Bm03_new_user%3A-29895%3BpisId%3A5000000204855994&amp;curPageLogUid=HADK0WdyQEtP&amp;utparam-url=scene%3Asearch%7Cquery_from%3A%7Cx_object_id%3A1005010143310151%7C_p_origin_prod%3A</t>
  </si>
  <si>
    <t>6-12days</t>
  </si>
  <si>
    <t>500g</t>
  </si>
  <si>
    <t>only for structural parts</t>
  </si>
  <si>
    <t>PLA lightweight filament</t>
  </si>
  <si>
    <t>6-10days</t>
  </si>
  <si>
    <t>More than 1kg would be needed for the whole A/C.
Order 1kg now and decide how to proceed after testing the material</t>
  </si>
  <si>
    <t>https://www.aliexpress.com/item/1005002541518129.html?spm=a2g0o.productlist.main.5.78ffsq50sq503F&amp;algo_pvid=6faec72d-98e9-471e-b5a2-c2bb06b9fa94&amp;algo_exp_id=6faec72d-98e9-471e-b5a2-c2bb06b9fa94-4&amp;pdp_ext_f=%7B%22order%22%3A%221009%22%2C%22spu_best_type%22%3A%22price%22%2C%22eval%22%3A%221%22%2C%22fromPage%22%3A%22search%22%7D&amp;pdp_npi=6%40dis%21EUR%2137.61%2130.33%21%21%2142.66%2134.40%21%40210319b017817235694855583e33c0%2112000033822258922%21sea%21BG%21892667464%21ABX%211%210%21n_tag%3A-29910%3Bd%3Ab8d743bc%3Bm03_new_user%3A-29895%3BpisId%3A5000000209557399&amp;curPageLogUid=4m2AAUUDCr6v&amp;utparam-url=scene%3Asearch%7Cquery_from%3A%7Cx_object_id%3A1005002541518129%7C_p_origin_prod%3A</t>
  </si>
  <si>
    <t>1kg - White!</t>
  </si>
  <si>
    <t>Antenna</t>
  </si>
  <si>
    <t>Multiple-cell battery</t>
  </si>
  <si>
    <t>Unpolarized capacitor</t>
  </si>
  <si>
    <t>SQESC_12100</t>
  </si>
  <si>
    <t>HGLRC_M100_Pro</t>
  </si>
  <si>
    <t>XT-90F</t>
  </si>
  <si>
    <t>4mm_Banana_Conn_Socket</t>
  </si>
  <si>
    <t>4mm_Banana_Conn_Pin</t>
  </si>
  <si>
    <t>JST-SH1.0-8P_F</t>
  </si>
  <si>
    <t>JST connector, single row, 01x08, SH 1.0</t>
  </si>
  <si>
    <t>JST-SH1.0-8P_M</t>
  </si>
  <si>
    <t>JST connector, single row, 01x08, Sh 1.0</t>
  </si>
  <si>
    <t>JST-SH1.0-4P_F</t>
  </si>
  <si>
    <t>JST connector, single row, 01x04</t>
  </si>
  <si>
    <t>JST-SH1.0-4P_M</t>
  </si>
  <si>
    <t>JST-SH1.0-6P_F</t>
  </si>
  <si>
    <t>JST connector, single row, 01x06, SH 1.0</t>
  </si>
  <si>
    <t>JST-SH1.0-6P_M</t>
  </si>
  <si>
    <t>JST connector, single row, 01x06, SH1.0</t>
  </si>
  <si>
    <t>MG996R</t>
  </si>
  <si>
    <t>Servo Motor (JR connector)</t>
  </si>
  <si>
    <t>Brotherhobby Avenger 3120 500KV</t>
  </si>
  <si>
    <t>370 uF capacitor</t>
  </si>
  <si>
    <t>Turnigy_HD_6S_5Ah5_60C_LiPo</t>
  </si>
  <si>
    <t>Foxeer Mini Cat 4 1200TVL</t>
  </si>
  <si>
    <t>FPV Camera</t>
  </si>
  <si>
    <t>Power connector</t>
  </si>
  <si>
    <t>JR connector, single row, 01x03</t>
  </si>
  <si>
    <t>JR-3P_F</t>
  </si>
  <si>
    <t>JR-3P_M</t>
  </si>
  <si>
    <t>Mini Servo</t>
  </si>
  <si>
    <t>Motor</t>
  </si>
  <si>
    <t>TBS Crossfire Diversity Nano Rx</t>
  </si>
  <si>
    <t>FPV LONG RANGE DRONE RECEIVER</t>
  </si>
  <si>
    <t>ULTRA 25-1600mW 4.9-5.8G 64CH</t>
  </si>
  <si>
    <t>MATEKSYS XCLAS PDB FCHUB-12S</t>
  </si>
  <si>
    <t>Power Distribution Board</t>
  </si>
  <si>
    <t>GPS with Compass</t>
  </si>
  <si>
    <t>MATEKSYS_F405-HDTE  12 PWM</t>
  </si>
  <si>
    <t>Flight Controller</t>
  </si>
  <si>
    <t>Electronic Speed Controller</t>
  </si>
  <si>
    <t>XT-90M</t>
  </si>
  <si>
    <t>Video Transmitter</t>
  </si>
  <si>
    <t>https://hobbyking.com/en_us/turnigy-heavy-duty-5500mah-6s-60c-lipo-pack-w-xt90.html</t>
  </si>
  <si>
    <t>https://n-factory.de/F405-WING_15?srsltid=AfmBOorJLigbjhDd51Re4u0jHc0Jw6epVL2ePDy3WgvZ8yOpSwySAvJh</t>
  </si>
  <si>
    <t>Sold in bulk</t>
  </si>
  <si>
    <t>https://sequremall.com/products/sequre-12100-brushless-electric-speed-controller-5-12s-power-supply-100a-blheli_32-am32-firmware-support-128khz-pwm-frequency-suitable-for-multi-rotor-aircrafts-airplane-models-plant-protection-machine-boat-models-rc-car-models?srsltid=AfmBOoqD3cKLbLKnMnpXxBff0019A01XQKeqCUJ8P-pC8NoTSW-f13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</si>
</sst>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04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left"/>
    </xf>
    <xf numFmtId="0" fontId="3" fillId="2" borderId="1" xfId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0" xfId="0" applyFont="1" applyFill="1"/>
    <xf numFmtId="0" fontId="0" fillId="4" borderId="1" xfId="0" applyFill="1" applyBorder="1" applyAlignment="1">
      <alignment horizontal="center" vertical="center"/>
    </xf>
    <xf numFmtId="0" fontId="4" fillId="0" borderId="0" xfId="0" applyFont="1"/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3dprintx.bg/magazin/pa6-cf-with-spool-cherno-bambu-lab/?gad_source=1&amp;gad_campaignid=23369295043&amp;gbraid=0AAAABBeApTZEPbIRHor7bJZ92Gq7vT3lv&amp;gclid=CjwKCAjwxITRBhBYEiwA6mZm7bCe5kvsvoz_znE0dv8i7YoYQrUSTdOaCQ7RKckeGywr-XLrI4hECRoCo7M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F099F-610B-4C2F-A80F-3888BDD56E8E}">
  <dimension ref="B2:D14"/>
  <sheetViews>
    <sheetView workbookViewId="0">
      <selection activeCell="C3" sqref="C3"/>
    </sheetView>
  </sheetViews>
  <sheetFormatPr defaultRowHeight="15" x14ac:dyDescent="0.25"/>
  <cols>
    <col min="4" max="4" width="33.28515625" bestFit="1" customWidth="1"/>
  </cols>
  <sheetData>
    <row r="2" spans="2:4" x14ac:dyDescent="0.25">
      <c r="B2" s="4" t="s">
        <v>3</v>
      </c>
      <c r="C2" s="4" t="s">
        <v>9</v>
      </c>
      <c r="D2" s="4" t="s">
        <v>17</v>
      </c>
    </row>
    <row r="3" spans="2:4" x14ac:dyDescent="0.25">
      <c r="B3" t="s">
        <v>4</v>
      </c>
      <c r="C3" t="s">
        <v>36</v>
      </c>
      <c r="D3" t="s">
        <v>24</v>
      </c>
    </row>
    <row r="4" spans="2:4" x14ac:dyDescent="0.25">
      <c r="B4" t="s">
        <v>6</v>
      </c>
      <c r="C4" t="s">
        <v>10</v>
      </c>
      <c r="D4" t="s">
        <v>18</v>
      </c>
    </row>
    <row r="5" spans="2:4" x14ac:dyDescent="0.25">
      <c r="B5" t="s">
        <v>5</v>
      </c>
      <c r="C5" t="s">
        <v>11</v>
      </c>
      <c r="D5" t="s">
        <v>19</v>
      </c>
    </row>
    <row r="6" spans="2:4" x14ac:dyDescent="0.25">
      <c r="B6" t="s">
        <v>7</v>
      </c>
      <c r="C6" t="s">
        <v>12</v>
      </c>
      <c r="D6" t="s">
        <v>25</v>
      </c>
    </row>
    <row r="7" spans="2:4" x14ac:dyDescent="0.25">
      <c r="C7" t="s">
        <v>13</v>
      </c>
      <c r="D7" t="s">
        <v>26</v>
      </c>
    </row>
    <row r="8" spans="2:4" x14ac:dyDescent="0.25">
      <c r="D8" t="s">
        <v>27</v>
      </c>
    </row>
    <row r="9" spans="2:4" x14ac:dyDescent="0.25">
      <c r="D9" t="s">
        <v>28</v>
      </c>
    </row>
    <row r="10" spans="2:4" x14ac:dyDescent="0.25">
      <c r="D10" t="s">
        <v>29</v>
      </c>
    </row>
    <row r="11" spans="2:4" x14ac:dyDescent="0.25">
      <c r="D11" t="s">
        <v>30</v>
      </c>
    </row>
    <row r="12" spans="2:4" x14ac:dyDescent="0.25">
      <c r="D12" t="s">
        <v>31</v>
      </c>
    </row>
    <row r="13" spans="2:4" x14ac:dyDescent="0.25">
      <c r="D13" t="s">
        <v>20</v>
      </c>
    </row>
    <row r="14" spans="2:4" x14ac:dyDescent="0.25">
      <c r="D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4346-BCBC-4D9C-B399-F93315446069}">
  <dimension ref="A1:M35"/>
  <sheetViews>
    <sheetView tabSelected="1" topLeftCell="A6" workbookViewId="0">
      <selection activeCell="K14" sqref="K14"/>
    </sheetView>
  </sheetViews>
  <sheetFormatPr defaultColWidth="8.85546875" defaultRowHeight="15" x14ac:dyDescent="0.25"/>
  <cols>
    <col min="1" max="1" width="3" style="1" bestFit="1" customWidth="1"/>
    <col min="2" max="2" width="37.7109375" style="7" customWidth="1"/>
    <col min="3" max="3" width="57.7109375" style="2" customWidth="1"/>
    <col min="4" max="4" width="37.7109375" style="1" bestFit="1" customWidth="1"/>
    <col min="5" max="7" width="8.85546875" style="1"/>
    <col min="8" max="8" width="4.42578125" style="1" bestFit="1" customWidth="1"/>
    <col min="9" max="9" width="12.28515625" style="1" bestFit="1" customWidth="1"/>
    <col min="10" max="10" width="12.28515625" style="1" customWidth="1"/>
    <col min="11" max="11" width="9.42578125" style="1" bestFit="1" customWidth="1"/>
    <col min="12" max="12" width="8.85546875" style="1"/>
    <col min="13" max="13" width="48" style="17" customWidth="1"/>
    <col min="14" max="16384" width="8.85546875" style="2"/>
  </cols>
  <sheetData>
    <row r="1" spans="1:13" x14ac:dyDescent="0.25">
      <c r="A1" s="5" t="s">
        <v>23</v>
      </c>
      <c r="C1" s="6"/>
      <c r="M1" s="2"/>
    </row>
    <row r="2" spans="1:13" ht="27" customHeight="1" x14ac:dyDescent="0.25">
      <c r="A2" s="9" t="s">
        <v>0</v>
      </c>
      <c r="B2" s="10" t="s">
        <v>15</v>
      </c>
      <c r="C2" s="11" t="s">
        <v>16</v>
      </c>
      <c r="D2" s="12" t="s">
        <v>17</v>
      </c>
      <c r="E2" s="9" t="s">
        <v>35</v>
      </c>
      <c r="F2" s="12" t="s">
        <v>54</v>
      </c>
      <c r="G2" s="9" t="s">
        <v>2</v>
      </c>
      <c r="H2" s="9" t="s">
        <v>3</v>
      </c>
      <c r="I2" s="9" t="s">
        <v>8</v>
      </c>
      <c r="J2" s="9" t="s">
        <v>34</v>
      </c>
      <c r="K2" s="9" t="s">
        <v>22</v>
      </c>
      <c r="L2" s="9" t="s">
        <v>9</v>
      </c>
      <c r="M2" s="11" t="s">
        <v>14</v>
      </c>
    </row>
    <row r="3" spans="1:13" x14ac:dyDescent="0.25">
      <c r="A3" s="15">
        <f>IF(B3&lt;&gt;"",COUNTA($B$3:B3),"")</f>
        <v>1</v>
      </c>
      <c r="B3" s="14" t="s">
        <v>1</v>
      </c>
      <c r="C3" s="13" t="s">
        <v>32</v>
      </c>
      <c r="D3" s="15" t="s">
        <v>20</v>
      </c>
      <c r="E3" s="15"/>
      <c r="F3" s="15">
        <v>0</v>
      </c>
      <c r="G3" s="15">
        <v>1</v>
      </c>
      <c r="H3" s="15" t="s">
        <v>4</v>
      </c>
      <c r="I3" s="3"/>
      <c r="J3" s="15">
        <f>(G3*E3)+F3</f>
        <v>0</v>
      </c>
      <c r="K3" s="15" t="s">
        <v>33</v>
      </c>
      <c r="L3" s="18" t="s">
        <v>36</v>
      </c>
      <c r="M3" s="16"/>
    </row>
    <row r="4" spans="1:13" x14ac:dyDescent="0.25">
      <c r="A4" s="15">
        <f>IF(B4&lt;&gt;"",COUNTA($B$3:B4),"")</f>
        <v>2</v>
      </c>
      <c r="B4" s="14" t="s">
        <v>38</v>
      </c>
      <c r="C4" s="13" t="s">
        <v>59</v>
      </c>
      <c r="D4" s="15" t="s">
        <v>29</v>
      </c>
      <c r="E4" s="15">
        <v>43.2</v>
      </c>
      <c r="F4" s="15">
        <v>0</v>
      </c>
      <c r="G4" s="15">
        <v>1</v>
      </c>
      <c r="H4" s="15" t="s">
        <v>4</v>
      </c>
      <c r="I4" s="8" t="s">
        <v>57</v>
      </c>
      <c r="J4" s="15">
        <f>(G4*E4)+F4</f>
        <v>43.2</v>
      </c>
      <c r="K4" s="15" t="s">
        <v>58</v>
      </c>
      <c r="L4" s="18" t="s">
        <v>36</v>
      </c>
      <c r="M4" s="16" t="s">
        <v>60</v>
      </c>
    </row>
    <row r="5" spans="1:13" x14ac:dyDescent="0.25">
      <c r="A5" s="15">
        <f>IF(B5&lt;&gt;"",COUNTA($B$3:B5),"")</f>
        <v>3</v>
      </c>
      <c r="B5" s="14" t="s">
        <v>42</v>
      </c>
      <c r="C5" s="13" t="s">
        <v>43</v>
      </c>
      <c r="D5" s="15" t="s">
        <v>24</v>
      </c>
      <c r="E5" s="15">
        <v>8.65</v>
      </c>
      <c r="F5" s="15">
        <v>0</v>
      </c>
      <c r="G5" s="15">
        <v>2</v>
      </c>
      <c r="H5" s="15" t="s">
        <v>4</v>
      </c>
      <c r="I5" s="3" t="s">
        <v>44</v>
      </c>
      <c r="J5" s="15">
        <f>(G5*E5)+F5</f>
        <v>17.3</v>
      </c>
      <c r="K5" s="15" t="s">
        <v>45</v>
      </c>
      <c r="L5" s="18" t="s">
        <v>36</v>
      </c>
      <c r="M5" s="16" t="s">
        <v>47</v>
      </c>
    </row>
    <row r="6" spans="1:13" x14ac:dyDescent="0.25">
      <c r="A6" s="15">
        <f>IF(B6&lt;&gt;"",COUNTA($B$3:B6),"")</f>
        <v>4</v>
      </c>
      <c r="B6" s="14" t="s">
        <v>37</v>
      </c>
      <c r="C6" s="13" t="s">
        <v>43</v>
      </c>
      <c r="D6" s="15" t="s">
        <v>24</v>
      </c>
      <c r="E6" s="15">
        <v>10.199999999999999</v>
      </c>
      <c r="F6" s="15">
        <v>0</v>
      </c>
      <c r="G6" s="15">
        <v>2</v>
      </c>
      <c r="H6" s="15" t="s">
        <v>4</v>
      </c>
      <c r="I6" s="3" t="s">
        <v>44</v>
      </c>
      <c r="J6" s="15">
        <f t="shared" ref="J6:J27" si="0">(G6*E6)+F6</f>
        <v>20.399999999999999</v>
      </c>
      <c r="K6" s="15" t="s">
        <v>45</v>
      </c>
      <c r="L6" s="18" t="s">
        <v>36</v>
      </c>
      <c r="M6" s="16" t="s">
        <v>46</v>
      </c>
    </row>
    <row r="7" spans="1:13" x14ac:dyDescent="0.25">
      <c r="A7" s="15">
        <f>IF(B7&lt;&gt;"",COUNTA($B$3:B7),"")</f>
        <v>5</v>
      </c>
      <c r="B7" s="14" t="s">
        <v>41</v>
      </c>
      <c r="C7" s="13" t="s">
        <v>48</v>
      </c>
      <c r="D7" s="15" t="s">
        <v>24</v>
      </c>
      <c r="E7" s="15">
        <v>5.87</v>
      </c>
      <c r="F7" s="15">
        <v>0</v>
      </c>
      <c r="G7" s="15">
        <v>1</v>
      </c>
      <c r="H7" s="15" t="s">
        <v>4</v>
      </c>
      <c r="I7" s="3" t="s">
        <v>51</v>
      </c>
      <c r="J7" s="15">
        <f t="shared" si="0"/>
        <v>5.87</v>
      </c>
      <c r="K7" s="15" t="s">
        <v>49</v>
      </c>
      <c r="L7" s="18" t="s">
        <v>36</v>
      </c>
      <c r="M7" s="16" t="s">
        <v>50</v>
      </c>
    </row>
    <row r="8" spans="1:13" x14ac:dyDescent="0.25">
      <c r="A8" s="15">
        <f>IF(B8&lt;&gt;"",COUNTA($B$3:B8),"")</f>
        <v>6</v>
      </c>
      <c r="B8" s="14" t="s">
        <v>41</v>
      </c>
      <c r="C8" s="13" t="s">
        <v>52</v>
      </c>
      <c r="D8" s="15" t="s">
        <v>24</v>
      </c>
      <c r="E8" s="15">
        <v>10.91</v>
      </c>
      <c r="F8" s="22">
        <v>17.25</v>
      </c>
      <c r="G8" s="15">
        <v>2</v>
      </c>
      <c r="H8" s="15" t="s">
        <v>4</v>
      </c>
      <c r="I8" s="3" t="s">
        <v>55</v>
      </c>
      <c r="J8" s="15">
        <f t="shared" si="0"/>
        <v>39.07</v>
      </c>
      <c r="K8" s="15" t="s">
        <v>56</v>
      </c>
      <c r="L8" s="18" t="s">
        <v>36</v>
      </c>
      <c r="M8" s="16" t="s">
        <v>53</v>
      </c>
    </row>
    <row r="9" spans="1:13" x14ac:dyDescent="0.25">
      <c r="A9" s="15">
        <f>IF(B9&lt;&gt;"",COUNTA($B$3:B9),"")</f>
        <v>7</v>
      </c>
      <c r="B9" s="14" t="s">
        <v>40</v>
      </c>
      <c r="C9" s="13" t="s">
        <v>52</v>
      </c>
      <c r="D9" s="15" t="s">
        <v>24</v>
      </c>
      <c r="E9" s="15">
        <v>6</v>
      </c>
      <c r="F9" s="23"/>
      <c r="G9" s="15">
        <v>1</v>
      </c>
      <c r="H9" s="15" t="s">
        <v>4</v>
      </c>
      <c r="I9" s="3" t="s">
        <v>55</v>
      </c>
      <c r="J9" s="15">
        <f t="shared" si="0"/>
        <v>6</v>
      </c>
      <c r="K9" s="15" t="s">
        <v>56</v>
      </c>
      <c r="L9" s="18" t="s">
        <v>36</v>
      </c>
      <c r="M9" s="16"/>
    </row>
    <row r="10" spans="1:13" ht="45" x14ac:dyDescent="0.25">
      <c r="A10" s="15">
        <f>IF(B10&lt;&gt;"",COUNTA($B$3:B10),"")</f>
        <v>8</v>
      </c>
      <c r="B10" s="20" t="s">
        <v>61</v>
      </c>
      <c r="C10" s="13" t="s">
        <v>65</v>
      </c>
      <c r="D10" s="15" t="s">
        <v>29</v>
      </c>
      <c r="E10" s="15">
        <v>30.33</v>
      </c>
      <c r="F10" s="15">
        <v>5.0599999999999996</v>
      </c>
      <c r="G10" s="15">
        <v>1</v>
      </c>
      <c r="H10" s="15" t="s">
        <v>4</v>
      </c>
      <c r="I10" s="3" t="s">
        <v>64</v>
      </c>
      <c r="J10" s="15">
        <f t="shared" si="0"/>
        <v>35.39</v>
      </c>
      <c r="K10" s="15" t="s">
        <v>62</v>
      </c>
      <c r="L10" s="18" t="s">
        <v>36</v>
      </c>
      <c r="M10" s="21" t="s">
        <v>63</v>
      </c>
    </row>
    <row r="11" spans="1:13" x14ac:dyDescent="0.25">
      <c r="A11" s="15">
        <f>IF(B11&lt;&gt;"",COUNTA($B$3:B11),"")</f>
        <v>9</v>
      </c>
      <c r="B11" s="24" t="s">
        <v>66</v>
      </c>
      <c r="C11" s="13" t="s">
        <v>66</v>
      </c>
      <c r="D11" s="15" t="s">
        <v>28</v>
      </c>
      <c r="E11" s="15"/>
      <c r="F11" s="15"/>
      <c r="G11" s="15">
        <v>1</v>
      </c>
      <c r="H11" s="15"/>
      <c r="I11" s="3"/>
      <c r="J11" s="15">
        <f t="shared" si="0"/>
        <v>0</v>
      </c>
      <c r="K11" s="15"/>
      <c r="L11" s="18" t="s">
        <v>36</v>
      </c>
      <c r="M11" s="16"/>
    </row>
    <row r="12" spans="1:13" x14ac:dyDescent="0.25">
      <c r="A12" s="15">
        <f>IF(B12&lt;&gt;"",COUNTA($B$3:B12),"")</f>
        <v>10</v>
      </c>
      <c r="B12" s="14" t="s">
        <v>89</v>
      </c>
      <c r="C12" s="13" t="s">
        <v>67</v>
      </c>
      <c r="D12" s="15" t="s">
        <v>19</v>
      </c>
      <c r="E12" s="15">
        <v>60.75</v>
      </c>
      <c r="F12" s="15"/>
      <c r="G12" s="15">
        <v>4</v>
      </c>
      <c r="H12" s="15" t="s">
        <v>4</v>
      </c>
      <c r="I12" s="3" t="s">
        <v>109</v>
      </c>
      <c r="J12" s="15">
        <f t="shared" si="0"/>
        <v>243</v>
      </c>
      <c r="K12" s="15"/>
      <c r="L12" s="18" t="s">
        <v>36</v>
      </c>
      <c r="M12" s="16"/>
    </row>
    <row r="13" spans="1:13" x14ac:dyDescent="0.25">
      <c r="A13" s="15">
        <f>IF(B13&lt;&gt;"",COUNTA($B$3:B13),"")</f>
        <v>11</v>
      </c>
      <c r="B13" s="14" t="s">
        <v>88</v>
      </c>
      <c r="C13" s="13" t="s">
        <v>68</v>
      </c>
      <c r="D13" s="15" t="s">
        <v>19</v>
      </c>
      <c r="E13" s="15"/>
      <c r="F13" s="15"/>
      <c r="G13" s="15">
        <v>1</v>
      </c>
      <c r="H13" s="15"/>
      <c r="I13" s="3"/>
      <c r="J13" s="15">
        <f t="shared" si="0"/>
        <v>0</v>
      </c>
      <c r="K13" s="15"/>
      <c r="L13" s="18" t="s">
        <v>36</v>
      </c>
      <c r="M13" s="16"/>
    </row>
    <row r="14" spans="1:13" x14ac:dyDescent="0.25">
      <c r="A14" s="15">
        <f>IF(B14&lt;&gt;"",COUNTA($B$3:B14),"")</f>
        <v>12</v>
      </c>
      <c r="B14" s="13" t="s">
        <v>90</v>
      </c>
      <c r="C14" s="13" t="s">
        <v>91</v>
      </c>
      <c r="D14" s="15" t="s">
        <v>25</v>
      </c>
      <c r="E14" s="15"/>
      <c r="F14" s="15"/>
      <c r="G14" s="15">
        <v>1</v>
      </c>
      <c r="H14" s="15"/>
      <c r="I14" s="3"/>
      <c r="J14" s="15">
        <f t="shared" si="0"/>
        <v>0</v>
      </c>
      <c r="K14" s="15"/>
      <c r="L14" s="18" t="s">
        <v>36</v>
      </c>
      <c r="M14" s="16"/>
    </row>
    <row r="15" spans="1:13" x14ac:dyDescent="0.25">
      <c r="A15" s="15">
        <f>IF(B15&lt;&gt;"",COUNTA($B$3:B15),"")</f>
        <v>13</v>
      </c>
      <c r="B15" s="14" t="s">
        <v>69</v>
      </c>
      <c r="C15" s="13" t="s">
        <v>106</v>
      </c>
      <c r="D15" s="15" t="s">
        <v>18</v>
      </c>
      <c r="E15" s="15">
        <v>44.99</v>
      </c>
      <c r="F15" s="15"/>
      <c r="G15" s="15">
        <v>4</v>
      </c>
      <c r="H15" s="15" t="s">
        <v>4</v>
      </c>
      <c r="I15" s="3" t="s">
        <v>112</v>
      </c>
      <c r="J15" s="15">
        <f t="shared" si="0"/>
        <v>179.96</v>
      </c>
      <c r="K15" s="15"/>
      <c r="L15" s="18" t="s">
        <v>36</v>
      </c>
      <c r="M15" s="16"/>
    </row>
    <row r="16" spans="1:13" x14ac:dyDescent="0.25">
      <c r="A16" s="15">
        <f>IF(B16&lt;&gt;"",COUNTA($B$3:B16),"")</f>
        <v>14</v>
      </c>
      <c r="B16" s="14" t="s">
        <v>104</v>
      </c>
      <c r="C16" s="13" t="s">
        <v>105</v>
      </c>
      <c r="D16" s="15" t="s">
        <v>25</v>
      </c>
      <c r="E16" s="15">
        <v>49.95</v>
      </c>
      <c r="F16" s="15"/>
      <c r="G16" s="15">
        <v>1</v>
      </c>
      <c r="H16" s="15" t="s">
        <v>4</v>
      </c>
      <c r="I16" s="3" t="s">
        <v>110</v>
      </c>
      <c r="J16" s="15">
        <f t="shared" si="0"/>
        <v>49.95</v>
      </c>
      <c r="K16" s="15"/>
      <c r="L16" s="18" t="s">
        <v>36</v>
      </c>
      <c r="M16" s="16"/>
    </row>
    <row r="17" spans="1:13" x14ac:dyDescent="0.25">
      <c r="A17" s="15">
        <f>IF(B17&lt;&gt;"",COUNTA($B$3:B17),"")</f>
        <v>15</v>
      </c>
      <c r="B17" s="14" t="s">
        <v>70</v>
      </c>
      <c r="C17" s="13" t="s">
        <v>103</v>
      </c>
      <c r="D17" s="15" t="s">
        <v>25</v>
      </c>
      <c r="E17" s="15"/>
      <c r="F17" s="15"/>
      <c r="G17" s="15">
        <v>1</v>
      </c>
      <c r="H17" s="15"/>
      <c r="I17" s="3"/>
      <c r="J17" s="15">
        <f t="shared" si="0"/>
        <v>0</v>
      </c>
      <c r="K17" s="15"/>
      <c r="L17" s="18" t="s">
        <v>36</v>
      </c>
      <c r="M17" s="16"/>
    </row>
    <row r="18" spans="1:13" x14ac:dyDescent="0.25">
      <c r="A18" s="15">
        <f>IF(B18&lt;&gt;"",COUNTA($B$3:B18),"")</f>
        <v>16</v>
      </c>
      <c r="B18" s="14" t="s">
        <v>71</v>
      </c>
      <c r="C18" s="13" t="s">
        <v>92</v>
      </c>
      <c r="D18" s="15" t="s">
        <v>30</v>
      </c>
      <c r="E18" s="15"/>
      <c r="F18" s="15"/>
      <c r="G18" s="15">
        <v>8</v>
      </c>
      <c r="H18" s="15"/>
      <c r="I18" s="3"/>
      <c r="J18" s="15">
        <f t="shared" si="0"/>
        <v>0</v>
      </c>
      <c r="K18" s="15"/>
      <c r="L18" s="18" t="s">
        <v>36</v>
      </c>
      <c r="M18" s="16" t="s">
        <v>111</v>
      </c>
    </row>
    <row r="19" spans="1:13" x14ac:dyDescent="0.25">
      <c r="A19" s="15">
        <f>IF(B19&lt;&gt;"",COUNTA($B$3:B19),"")</f>
        <v>17</v>
      </c>
      <c r="B19" s="14" t="s">
        <v>107</v>
      </c>
      <c r="C19" s="13" t="s">
        <v>92</v>
      </c>
      <c r="D19" s="15" t="s">
        <v>30</v>
      </c>
      <c r="E19" s="15"/>
      <c r="F19" s="15"/>
      <c r="G19" s="15">
        <v>8</v>
      </c>
      <c r="H19" s="15"/>
      <c r="I19" s="3"/>
      <c r="J19" s="15"/>
      <c r="K19" s="15"/>
      <c r="L19" s="18" t="s">
        <v>36</v>
      </c>
      <c r="M19" s="16" t="s">
        <v>111</v>
      </c>
    </row>
    <row r="20" spans="1:13" x14ac:dyDescent="0.25">
      <c r="A20" s="15">
        <f>IF(B20&lt;&gt;"",COUNTA($B$3:B20),"")</f>
        <v>18</v>
      </c>
      <c r="B20" s="14" t="s">
        <v>72</v>
      </c>
      <c r="C20" s="13" t="s">
        <v>92</v>
      </c>
      <c r="D20" s="15" t="s">
        <v>30</v>
      </c>
      <c r="E20" s="15"/>
      <c r="F20" s="15"/>
      <c r="G20" s="15">
        <v>12</v>
      </c>
      <c r="H20" s="15"/>
      <c r="I20" s="3"/>
      <c r="J20" s="15">
        <f t="shared" si="0"/>
        <v>0</v>
      </c>
      <c r="K20" s="15"/>
      <c r="L20" s="18" t="s">
        <v>36</v>
      </c>
      <c r="M20" s="16" t="s">
        <v>111</v>
      </c>
    </row>
    <row r="21" spans="1:13" x14ac:dyDescent="0.25">
      <c r="A21" s="15">
        <f>IF(B21&lt;&gt;"",COUNTA($B$3:B21),"")</f>
        <v>19</v>
      </c>
      <c r="B21" s="14" t="s">
        <v>73</v>
      </c>
      <c r="C21" s="13" t="s">
        <v>92</v>
      </c>
      <c r="D21" s="15" t="s">
        <v>30</v>
      </c>
      <c r="E21" s="15"/>
      <c r="F21" s="15"/>
      <c r="G21" s="15">
        <v>12</v>
      </c>
      <c r="H21" s="15"/>
      <c r="I21" s="3"/>
      <c r="J21" s="15">
        <f t="shared" si="0"/>
        <v>0</v>
      </c>
      <c r="K21" s="15"/>
      <c r="L21" s="18" t="s">
        <v>36</v>
      </c>
      <c r="M21" s="16" t="s">
        <v>111</v>
      </c>
    </row>
    <row r="22" spans="1:13" x14ac:dyDescent="0.25">
      <c r="A22" s="15">
        <f>IF(B22&lt;&gt;"",COUNTA($B$3:B22),"")</f>
        <v>20</v>
      </c>
      <c r="B22" s="14" t="s">
        <v>94</v>
      </c>
      <c r="C22" s="13" t="s">
        <v>93</v>
      </c>
      <c r="D22" s="15" t="s">
        <v>30</v>
      </c>
      <c r="E22" s="15"/>
      <c r="F22" s="15"/>
      <c r="G22" s="15">
        <v>15</v>
      </c>
      <c r="H22" s="15"/>
      <c r="I22" s="3"/>
      <c r="J22" s="15">
        <f t="shared" si="0"/>
        <v>0</v>
      </c>
      <c r="K22" s="15"/>
      <c r="L22" s="18" t="s">
        <v>36</v>
      </c>
      <c r="M22" s="16" t="s">
        <v>111</v>
      </c>
    </row>
    <row r="23" spans="1:13" x14ac:dyDescent="0.25">
      <c r="A23" s="15">
        <f>IF(B23&lt;&gt;"",COUNTA($B$3:B23),"")</f>
        <v>21</v>
      </c>
      <c r="B23" s="14" t="s">
        <v>95</v>
      </c>
      <c r="C23" s="13" t="s">
        <v>93</v>
      </c>
      <c r="D23" s="15" t="s">
        <v>30</v>
      </c>
      <c r="E23" s="15"/>
      <c r="F23" s="15"/>
      <c r="G23" s="15">
        <v>6</v>
      </c>
      <c r="H23" s="15"/>
      <c r="I23" s="3"/>
      <c r="J23" s="15">
        <f t="shared" si="0"/>
        <v>0</v>
      </c>
      <c r="K23" s="15"/>
      <c r="L23" s="18" t="s">
        <v>36</v>
      </c>
      <c r="M23" s="16" t="s">
        <v>111</v>
      </c>
    </row>
    <row r="24" spans="1:13" x14ac:dyDescent="0.25">
      <c r="A24" s="15">
        <f>IF(B24&lt;&gt;"",COUNTA($B$3:B24),"")</f>
        <v>22</v>
      </c>
      <c r="B24" s="14" t="s">
        <v>74</v>
      </c>
      <c r="C24" s="13" t="s">
        <v>75</v>
      </c>
      <c r="D24" s="15" t="s">
        <v>30</v>
      </c>
      <c r="E24" s="15"/>
      <c r="F24" s="15"/>
      <c r="G24" s="15">
        <v>1</v>
      </c>
      <c r="H24" s="15"/>
      <c r="I24" s="3"/>
      <c r="J24" s="15">
        <f t="shared" si="0"/>
        <v>0</v>
      </c>
      <c r="K24" s="15"/>
      <c r="L24" s="18" t="s">
        <v>36</v>
      </c>
      <c r="M24" s="16" t="s">
        <v>111</v>
      </c>
    </row>
    <row r="25" spans="1:13" x14ac:dyDescent="0.25">
      <c r="A25" s="15">
        <f>IF(B25&lt;&gt;"",COUNTA($B$3:B25),"")</f>
        <v>23</v>
      </c>
      <c r="B25" s="14" t="s">
        <v>76</v>
      </c>
      <c r="C25" s="13" t="s">
        <v>77</v>
      </c>
      <c r="D25" s="15" t="s">
        <v>30</v>
      </c>
      <c r="E25" s="15"/>
      <c r="F25" s="15"/>
      <c r="G25" s="15">
        <v>3</v>
      </c>
      <c r="H25" s="15"/>
      <c r="I25" s="3"/>
      <c r="J25" s="15">
        <f t="shared" si="0"/>
        <v>0</v>
      </c>
      <c r="K25" s="15"/>
      <c r="L25" s="18" t="s">
        <v>36</v>
      </c>
      <c r="M25" s="16" t="s">
        <v>111</v>
      </c>
    </row>
    <row r="26" spans="1:13" x14ac:dyDescent="0.25">
      <c r="A26" s="15">
        <f>IF(B26&lt;&gt;"",COUNTA($B$3:B26),"")</f>
        <v>24</v>
      </c>
      <c r="B26" s="14" t="s">
        <v>78</v>
      </c>
      <c r="C26" s="13" t="s">
        <v>79</v>
      </c>
      <c r="D26" s="15" t="s">
        <v>30</v>
      </c>
      <c r="E26" s="15"/>
      <c r="F26" s="15"/>
      <c r="G26" s="15">
        <v>3</v>
      </c>
      <c r="H26" s="15"/>
      <c r="I26" s="3"/>
      <c r="J26" s="15">
        <f t="shared" si="0"/>
        <v>0</v>
      </c>
      <c r="K26" s="15"/>
      <c r="L26" s="18" t="s">
        <v>36</v>
      </c>
      <c r="M26" s="16" t="s">
        <v>111</v>
      </c>
    </row>
    <row r="27" spans="1:13" x14ac:dyDescent="0.25">
      <c r="A27" s="15">
        <f>IF(B27&lt;&gt;"",COUNTA($B$3:B27),"")</f>
        <v>25</v>
      </c>
      <c r="B27" s="13" t="s">
        <v>80</v>
      </c>
      <c r="C27" s="13" t="s">
        <v>79</v>
      </c>
      <c r="D27" s="15" t="s">
        <v>30</v>
      </c>
      <c r="E27" s="15"/>
      <c r="F27" s="15"/>
      <c r="G27" s="15">
        <v>3</v>
      </c>
      <c r="H27" s="15"/>
      <c r="I27" s="3"/>
      <c r="J27" s="15">
        <f t="shared" si="0"/>
        <v>0</v>
      </c>
      <c r="K27" s="15"/>
      <c r="L27" s="18" t="s">
        <v>36</v>
      </c>
      <c r="M27" s="16" t="s">
        <v>111</v>
      </c>
    </row>
    <row r="28" spans="1:13" x14ac:dyDescent="0.25">
      <c r="A28" s="15">
        <f>IF(B28&lt;&gt;"",COUNTA($B$3:B28),"")</f>
        <v>26</v>
      </c>
      <c r="B28" s="13" t="s">
        <v>81</v>
      </c>
      <c r="C28" s="13" t="s">
        <v>82</v>
      </c>
      <c r="D28" s="15" t="s">
        <v>30</v>
      </c>
      <c r="E28" s="15"/>
      <c r="F28" s="15"/>
      <c r="G28" s="15">
        <v>1</v>
      </c>
      <c r="H28" s="15"/>
      <c r="I28" s="3"/>
      <c r="J28" s="15">
        <f t="shared" ref="J28:J35" si="1">(G28*E28)+F28</f>
        <v>0</v>
      </c>
      <c r="K28" s="15"/>
      <c r="L28" s="18" t="s">
        <v>36</v>
      </c>
      <c r="M28" s="16" t="s">
        <v>111</v>
      </c>
    </row>
    <row r="29" spans="1:13" x14ac:dyDescent="0.25">
      <c r="A29" s="15">
        <f>IF(B29&lt;&gt;"",COUNTA($B$3:B29),"")</f>
        <v>27</v>
      </c>
      <c r="B29" s="13" t="s">
        <v>83</v>
      </c>
      <c r="C29" s="13" t="s">
        <v>84</v>
      </c>
      <c r="D29" s="15" t="s">
        <v>30</v>
      </c>
      <c r="E29" s="15"/>
      <c r="F29" s="15"/>
      <c r="G29" s="15">
        <v>1</v>
      </c>
      <c r="H29" s="15"/>
      <c r="I29" s="3"/>
      <c r="J29" s="15">
        <f t="shared" si="1"/>
        <v>0</v>
      </c>
      <c r="K29" s="15"/>
      <c r="L29" s="18" t="s">
        <v>36</v>
      </c>
      <c r="M29" s="16" t="s">
        <v>111</v>
      </c>
    </row>
    <row r="30" spans="1:13" x14ac:dyDescent="0.25">
      <c r="A30" s="15">
        <f>IF(B30&lt;&gt;"",COUNTA($B$3:B30),"")</f>
        <v>28</v>
      </c>
      <c r="B30" s="13" t="s">
        <v>85</v>
      </c>
      <c r="C30" s="13" t="s">
        <v>86</v>
      </c>
      <c r="D30" s="15" t="s">
        <v>30</v>
      </c>
      <c r="E30" s="15"/>
      <c r="F30" s="15"/>
      <c r="G30" s="15">
        <v>4</v>
      </c>
      <c r="H30" s="15"/>
      <c r="I30" s="3"/>
      <c r="J30" s="15">
        <f t="shared" si="1"/>
        <v>0</v>
      </c>
      <c r="K30" s="15"/>
      <c r="L30" s="18" t="s">
        <v>36</v>
      </c>
      <c r="M30" s="16"/>
    </row>
    <row r="31" spans="1:13" x14ac:dyDescent="0.25">
      <c r="A31" s="15">
        <f>IF(B31&lt;&gt;"",COUNTA($B$3:B31),"")</f>
        <v>29</v>
      </c>
      <c r="B31" s="25" t="s">
        <v>96</v>
      </c>
      <c r="C31" s="13" t="s">
        <v>86</v>
      </c>
      <c r="D31" s="15" t="s">
        <v>30</v>
      </c>
      <c r="E31" s="15"/>
      <c r="F31" s="15"/>
      <c r="G31" s="15">
        <v>4</v>
      </c>
      <c r="H31" s="15"/>
      <c r="I31" s="3"/>
      <c r="J31" s="15">
        <f t="shared" si="1"/>
        <v>0</v>
      </c>
      <c r="K31" s="15"/>
      <c r="L31" s="18" t="s">
        <v>36</v>
      </c>
      <c r="M31" s="16"/>
    </row>
    <row r="32" spans="1:13" x14ac:dyDescent="0.25">
      <c r="A32" s="15">
        <f>IF(B32&lt;&gt;"",COUNTA($B$3:B32),"")</f>
        <v>30</v>
      </c>
      <c r="B32" s="13" t="s">
        <v>87</v>
      </c>
      <c r="C32" s="13" t="s">
        <v>97</v>
      </c>
      <c r="D32" s="15" t="s">
        <v>18</v>
      </c>
      <c r="E32" s="15"/>
      <c r="F32" s="15"/>
      <c r="G32" s="15">
        <v>4</v>
      </c>
      <c r="H32" s="15"/>
      <c r="I32" s="3"/>
      <c r="J32" s="15">
        <f t="shared" si="1"/>
        <v>0</v>
      </c>
      <c r="K32" s="15"/>
      <c r="L32" s="18" t="s">
        <v>36</v>
      </c>
      <c r="M32" s="16"/>
    </row>
    <row r="33" spans="1:13" x14ac:dyDescent="0.25">
      <c r="A33" s="15">
        <f>IF(B33&lt;&gt;"",COUNTA($B$3:B33),"")</f>
        <v>31</v>
      </c>
      <c r="B33" s="13" t="s">
        <v>101</v>
      </c>
      <c r="C33" s="13" t="s">
        <v>102</v>
      </c>
      <c r="D33" s="15" t="s">
        <v>19</v>
      </c>
      <c r="E33" s="15"/>
      <c r="F33" s="15"/>
      <c r="G33" s="15">
        <v>1</v>
      </c>
      <c r="H33" s="15"/>
      <c r="I33" s="3"/>
      <c r="J33" s="15">
        <f t="shared" si="1"/>
        <v>0</v>
      </c>
      <c r="K33" s="15"/>
      <c r="L33" s="18" t="s">
        <v>36</v>
      </c>
      <c r="M33" s="16"/>
    </row>
    <row r="34" spans="1:13" x14ac:dyDescent="0.25">
      <c r="A34" s="15">
        <f>IF(B34&lt;&gt;"",COUNTA($B$3:B34),"")</f>
        <v>32</v>
      </c>
      <c r="B34" s="13" t="s">
        <v>98</v>
      </c>
      <c r="C34" s="13" t="s">
        <v>99</v>
      </c>
      <c r="D34" s="15" t="s">
        <v>28</v>
      </c>
      <c r="E34" s="15"/>
      <c r="F34" s="15"/>
      <c r="G34" s="15">
        <v>1</v>
      </c>
      <c r="H34" s="15"/>
      <c r="I34" s="3"/>
      <c r="J34" s="15">
        <f t="shared" si="1"/>
        <v>0</v>
      </c>
      <c r="K34" s="15"/>
      <c r="L34" s="18" t="s">
        <v>36</v>
      </c>
      <c r="M34" s="16"/>
    </row>
    <row r="35" spans="1:13" x14ac:dyDescent="0.25">
      <c r="A35" s="15">
        <f>IF(B35&lt;&gt;"",COUNTA($B$3:B35),"")</f>
        <v>33</v>
      </c>
      <c r="B35" s="13" t="s">
        <v>100</v>
      </c>
      <c r="C35" s="13" t="s">
        <v>108</v>
      </c>
      <c r="D35" s="15" t="s">
        <v>25</v>
      </c>
      <c r="E35" s="15"/>
      <c r="F35" s="15"/>
      <c r="G35" s="15">
        <v>1</v>
      </c>
      <c r="H35" s="15"/>
      <c r="I35" s="3"/>
      <c r="J35" s="15">
        <f t="shared" si="1"/>
        <v>0</v>
      </c>
      <c r="K35" s="15"/>
      <c r="L35" s="18" t="s">
        <v>36</v>
      </c>
      <c r="M35" s="16"/>
    </row>
  </sheetData>
  <mergeCells count="1">
    <mergeCell ref="F8:F9"/>
  </mergeCells>
  <phoneticPr fontId="6" type="noConversion"/>
  <conditionalFormatting sqref="L3 L6">
    <cfRule type="expression" priority="1">
      <formula>$B2="approved"</formula>
    </cfRule>
  </conditionalFormatting>
  <conditionalFormatting sqref="L4:L5 L7:L35">
    <cfRule type="expression" priority="3">
      <formula>#REF!="approved"</formula>
    </cfRule>
  </conditionalFormatting>
  <hyperlinks>
    <hyperlink ref="I4" r:id="rId1" display="https://3dprintx.bg/magazin/pa6-cf-with-spool-cherno-bambu-lab/?gad_source=1&amp;gad_campaignid=23369295043&amp;gbraid=0AAAABBeApTZEPbIRHor7bJZ92Gq7vT3lv&amp;gclid=CjwKCAjwxITRBhBYEiwA6mZm7bCe5kvsvoz_znE0dv8i7YoYQrUSTdOaCQ7RKckeGywr-XLrI4hECRoCo7MQAvD_BwE" xr:uid="{45F219EB-CA0E-46B2-B5AC-321500547349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3E04927-DBCA-4F6B-BC5C-6D6442D07CEA}">
          <x14:formula1>
            <xm:f>Background_info!$D$3:$D$30</xm:f>
          </x14:formula1>
          <xm:sqref>D3:D35</xm:sqref>
        </x14:dataValidation>
        <x14:dataValidation type="list" allowBlank="1" showInputMessage="1" showErrorMessage="1" xr:uid="{8D191F27-4E1E-4078-9DF4-BD7DE8468C2E}">
          <x14:formula1>
            <xm:f>Background_info!$B$3:$B$6</xm:f>
          </x14:formula1>
          <xm:sqref>H3:H35</xm:sqref>
        </x14:dataValidation>
        <x14:dataValidation type="list" allowBlank="1" showInputMessage="1" showErrorMessage="1" xr:uid="{0CED9412-699B-4C7D-965B-005ACFAE9885}">
          <x14:formula1>
            <xm:f>Background_info!$C$3:$C$15</xm:f>
          </x14:formula1>
          <xm:sqref>L3:L35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02BA-A80C-4BEA-8ECF-F81C395286C3}">
  <dimension ref="A1"/>
  <sheetViews>
    <sheetView workbookViewId="0">
      <selection activeCell="C3" sqref="C3"/>
    </sheetView>
  </sheetViews>
  <sheetFormatPr defaultRowHeight="15" x14ac:dyDescent="0.25"/>
  <sheetData>
    <row r="1" spans="1:1" x14ac:dyDescent="0.25">
      <c r="A1" s="1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Background_info</vt:lpstr>
      <vt:lpstr>Main_Table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Nikolov, Aleksandar</dc:creator>
  <cp:lastModifiedBy>Martin</cp:lastModifiedBy>
  <dcterms:created xsi:type="dcterms:W3CDTF">2026-06-04T17:17:53Z</dcterms:created>
  <dcterms:modified xsi:type="dcterms:W3CDTF">2026-06-19T16:10:56Z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116a5-35f0-4733-81bd-339106ca795f_Enabled">
    <vt:lpwstr>true</vt:lpwstr>
  </property>
  <property fmtid="{D5CDD505-2E9C-101B-9397-08002B2CF9AE}" pid="3" name="MSIP_Label_dad116a5-35f0-4733-81bd-339106ca795f_SetDate">
    <vt:lpwstr>2026-06-04T18:16:49Z</vt:lpwstr>
  </property>
  <property fmtid="{D5CDD505-2E9C-101B-9397-08002B2CF9AE}" pid="4" name="MSIP_Label_dad116a5-35f0-4733-81bd-339106ca795f_Method">
    <vt:lpwstr>Standard</vt:lpwstr>
  </property>
  <property fmtid="{D5CDD505-2E9C-101B-9397-08002B2CF9AE}" pid="5" name="MSIP_Label_dad116a5-35f0-4733-81bd-339106ca795f_Name">
    <vt:lpwstr>Sensata Internal</vt:lpwstr>
  </property>
  <property fmtid="{D5CDD505-2E9C-101B-9397-08002B2CF9AE}" pid="6" name="MSIP_Label_dad116a5-35f0-4733-81bd-339106ca795f_SiteId">
    <vt:lpwstr>8fe11266-3a2b-494f-b7ce-92bc201dc2ab</vt:lpwstr>
  </property>
  <property fmtid="{D5CDD505-2E9C-101B-9397-08002B2CF9AE}" pid="7" name="MSIP_Label_dad116a5-35f0-4733-81bd-339106ca795f_ActionId">
    <vt:lpwstr>64e217ca-fdbf-4c7a-8c53-c0ca3c81a4f5</vt:lpwstr>
  </property>
  <property fmtid="{D5CDD505-2E9C-101B-9397-08002B2CF9AE}" pid="8" name="MSIP_Label_dad116a5-35f0-4733-81bd-339106ca795f_ContentBits">
    <vt:lpwstr>0</vt:lpwstr>
  </property>
  <property fmtid="{D5CDD505-2E9C-101B-9397-08002B2CF9AE}" pid="9" name="MSIP_Label_dad116a5-35f0-4733-81bd-339106ca795f_Tag">
    <vt:lpwstr>10, 3, 0, 1</vt:lpwstr>
  </property>
</Properties>
</file>