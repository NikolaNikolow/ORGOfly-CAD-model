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nes\ORGOfly-CAD-model\1_ORGO-15_P1\1_CAD_model\ORGO_Flight_Control\Aileron Deflection\"/>
    </mc:Choice>
  </mc:AlternateContent>
  <xr:revisionPtr revIDLastSave="0" documentId="13_ncr:1_{0B451F68-F4FC-4804-8280-CC27BE38C62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Load_Basis" sheetId="2" r:id="rId2"/>
    <sheet name="Servo_Options" sheetId="3" r:id="rId3"/>
    <sheet name="Linkage_Setup" sheetId="4" r:id="rId4"/>
    <sheet name="BOM_Recommendation" sheetId="5" r:id="rId5"/>
    <sheet name="BEC_Power" sheetId="6" r:id="rId6"/>
    <sheet name="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10" i="5"/>
  <c r="D9" i="5"/>
  <c r="D8" i="5"/>
  <c r="D7" i="5"/>
  <c r="D6" i="5"/>
  <c r="D5" i="5"/>
  <c r="J9" i="4"/>
  <c r="H9" i="4"/>
  <c r="G9" i="4"/>
  <c r="I9" i="4" s="1"/>
  <c r="F9" i="4"/>
  <c r="F8" i="4"/>
  <c r="G8" i="4" s="1"/>
  <c r="J7" i="4"/>
  <c r="H7" i="4"/>
  <c r="G7" i="4"/>
  <c r="F7" i="4"/>
  <c r="F6" i="4"/>
  <c r="G6" i="4" s="1"/>
  <c r="F5" i="4"/>
  <c r="J5" i="4" s="1"/>
  <c r="P11" i="3"/>
  <c r="O11" i="3"/>
  <c r="N11" i="3"/>
  <c r="P10" i="3"/>
  <c r="O10" i="3"/>
  <c r="N10" i="3"/>
  <c r="L10" i="3"/>
  <c r="P9" i="3"/>
  <c r="O9" i="3"/>
  <c r="N9" i="3"/>
  <c r="L9" i="3"/>
  <c r="P8" i="3"/>
  <c r="O8" i="3"/>
  <c r="N8" i="3"/>
  <c r="L8" i="3"/>
  <c r="P7" i="3"/>
  <c r="O7" i="3"/>
  <c r="N7" i="3"/>
  <c r="L7" i="3"/>
  <c r="P6" i="3"/>
  <c r="O6" i="3"/>
  <c r="N6" i="3"/>
  <c r="L6" i="3"/>
  <c r="P5" i="3"/>
  <c r="O5" i="3"/>
  <c r="N5" i="3"/>
  <c r="L5" i="3"/>
  <c r="G6" i="2"/>
  <c r="M5" i="3" s="1"/>
  <c r="G5" i="2"/>
  <c r="L11" i="3" s="1"/>
  <c r="I8" i="4" l="1"/>
  <c r="H8" i="4"/>
  <c r="I6" i="4"/>
  <c r="H6" i="4"/>
  <c r="G5" i="4"/>
  <c r="M6" i="3"/>
  <c r="J8" i="4"/>
  <c r="M9" i="3"/>
  <c r="I7" i="4"/>
  <c r="M11" i="3"/>
  <c r="M7" i="3"/>
  <c r="J6" i="4"/>
  <c r="M8" i="3"/>
  <c r="M10" i="3"/>
  <c r="I5" i="4" l="1"/>
  <c r="H5" i="4"/>
</calcChain>
</file>

<file path=xl/sharedStrings.xml><?xml version="1.0" encoding="utf-8"?>
<sst xmlns="http://schemas.openxmlformats.org/spreadsheetml/2006/main" count="306" uniqueCount="243">
  <si>
    <t>Aileron + Elevon Servo Selection Summary</t>
  </si>
  <si>
    <t>Prepared for the 12S VTOL electronics configuration. Prices are approximate and must be re-checked before purchase.</t>
  </si>
  <si>
    <t>Design assumption</t>
  </si>
  <si>
    <t>Value</t>
  </si>
  <si>
    <t>Implication</t>
  </si>
  <si>
    <t>Battery architecture</t>
  </si>
  <si>
    <t>2×6S in series = 12S, 44.4 V nominal / 50.4 V full</t>
  </si>
  <si>
    <t>Servos must be powered from a regulated 6–8.4 V BEC, not raw 12S.</t>
  </si>
  <si>
    <t>Flight controller in BOM</t>
  </si>
  <si>
    <t>MATEKSYS F405-HDTE</t>
  </si>
  <si>
    <t>Can command PWM servos; do not use FC/PDB small regulator as the main high-current servo rail.</t>
  </si>
  <si>
    <t>PDB in BOM</t>
  </si>
  <si>
    <t>MATEKSYS FCHUB-12S</t>
  </si>
  <si>
    <t>Good for 12S distribution, but it does not provide an 8.4 V high-current servo rail.</t>
  </si>
  <si>
    <t>Aileron required design torque</t>
  </si>
  <si>
    <t>4.195 Nm = 42.8 kg·cm</t>
  </si>
  <si>
    <t>Direct drive requires a non-slim high-torque servo; slim servo needs mechanical advantage.</t>
  </si>
  <si>
    <t>Elevon required design torque</t>
  </si>
  <si>
    <t>4.781 Nm = 48.8 kg·cm</t>
  </si>
  <si>
    <t>This is the sizing driver; choose linkage around 2.7:1 to 3.0:1 if using 20 kg·cm slim servos.</t>
  </si>
  <si>
    <t>Recommended servo</t>
  </si>
  <si>
    <t>KST A15-1810 V8.0</t>
  </si>
  <si>
    <t>Best slim/low-profile balance: 20 kg·cm @ 8.4 V, 15 mm thickness, 42 g.</t>
  </si>
  <si>
    <t>Recommended linkage</t>
  </si>
  <si>
    <t>10 mm servo-arm radius + 27–30 mm surface horn</t>
  </si>
  <si>
    <t>2.7:1 to 3.0:1 ratio. 3.0:1 gives 60 kg·cm effective torque but requires about 60° servo travel for 20° surface deflection.</t>
  </si>
  <si>
    <t>Recommended servo power</t>
  </si>
  <si>
    <t>Hobbywing UBEC 25A HV set to 8.4 V</t>
  </si>
  <si>
    <t>Use for four high-torque HV servos. 10A HV UBEC is acceptable only for 1–2 servos or very light duty.</t>
  </si>
  <si>
    <t>Final design note</t>
  </si>
  <si>
    <t>Bench-test before flight</t>
  </si>
  <si>
    <t>Check servo current, temperature, linkage stiffness, backlash, flutter, and actual max airspeed.</t>
  </si>
  <si>
    <t>Load Basis From Uploaded Calculations</t>
  </si>
  <si>
    <t>Torque values already include safety factor and direct-drive efficiency from the uploaded calculations.</t>
  </si>
  <si>
    <t>Surface</t>
  </si>
  <si>
    <t>Area [m²]</t>
  </si>
  <si>
    <t>Design speed [m/s]</t>
  </si>
  <si>
    <t>20° conservative force [N]</t>
  </si>
  <si>
    <t>Hinge moment [Nm]</t>
  </si>
  <si>
    <t>Design torque [Nm]</t>
  </si>
  <si>
    <t>Design torque [kg·cm]</t>
  </si>
  <si>
    <t>Practical pin recommendation</t>
  </si>
  <si>
    <t>Source</t>
  </si>
  <si>
    <t>Aileron</t>
  </si>
  <si>
    <t>6 mm × 30 mm minimum; 8 mm better if space allows</t>
  </si>
  <si>
    <t>Uploaded aileron_direct_drive_pin_calculation.pdf</t>
  </si>
  <si>
    <t>Elevon</t>
  </si>
  <si>
    <t>7 mm × 30 mm minimum; 8 mm preferred</t>
  </si>
  <si>
    <t>Uploaded elevon_direct_drive_pin_calculation.pdf</t>
  </si>
  <si>
    <t>Servo Options for Aileron and Elevon</t>
  </si>
  <si>
    <t>Min linkage ratio is calculated against the aileron and elevon design torques. Effective torque assumes no additional losses beyond the uploaded torque margin.</t>
  </si>
  <si>
    <t>Rank</t>
  </si>
  <si>
    <t>Servo</t>
  </si>
  <si>
    <t>Price approx.</t>
  </si>
  <si>
    <t>Voltage</t>
  </si>
  <si>
    <t>Torque @ HV [kg·cm]</t>
  </si>
  <si>
    <t>Speed @ HV [s/60°]</t>
  </si>
  <si>
    <t>Dimensions L×W×H [mm]</t>
  </si>
  <si>
    <t>Thickness [mm]</t>
  </si>
  <si>
    <t>Weight [g]</t>
  </si>
  <si>
    <t>Motor/gears</t>
  </si>
  <si>
    <t>Spline</t>
  </si>
  <si>
    <t>Aileron min ratio</t>
  </si>
  <si>
    <t>Elevon min ratio</t>
  </si>
  <si>
    <t>Eff. torque @2.5:1</t>
  </si>
  <si>
    <t>Eff. torque @2.7:1</t>
  </si>
  <si>
    <t>Eff. torque @3.0:1</t>
  </si>
  <si>
    <t>Direct-drive fit?</t>
  </si>
  <si>
    <t>Recommended use</t>
  </si>
  <si>
    <t>Source URL</t>
  </si>
  <si>
    <t>€89.90 / $79.99</t>
  </si>
  <si>
    <t>6.0–8.4 V</t>
  </si>
  <si>
    <t>35.5×15×32.5</t>
  </si>
  <si>
    <t>Coreless, hardened steel</t>
  </si>
  <si>
    <t>25T-6</t>
  </si>
  <si>
    <t>No</t>
  </si>
  <si>
    <t>Primary recommendation: aileron + elevon with 2.7:1–3.0:1 linkage</t>
  </si>
  <si>
    <t>https://www.kst-servo-shop.de/KST-A15-1810-V8.0-20kg.cmat8.4V-Coreless-Motor/KST-1026</t>
  </si>
  <si>
    <t>AGFRC A50BHL</t>
  </si>
  <si>
    <t>$45.99</t>
  </si>
  <si>
    <t>4.8–8.4 V</t>
  </si>
  <si>
    <t>40.8×20.2×26.5</t>
  </si>
  <si>
    <t>Brushless, steel</t>
  </si>
  <si>
    <t>25T Ø5.92</t>
  </si>
  <si>
    <t>Budget alternative; more RC-car oriented, thicker than KST</t>
  </si>
  <si>
    <t>https://www.agfrc.com/index.php?id=2436</t>
  </si>
  <si>
    <t>XQ Power XQ-BLS325</t>
  </si>
  <si>
    <t>€62.95</t>
  </si>
  <si>
    <t>41×20.5×28</t>
  </si>
  <si>
    <t>25T</t>
  </si>
  <si>
    <t>Higher torque low-profile option; verify quality before flight</t>
  </si>
  <si>
    <t>https://www.rovansports.nl/de/xq-power-xq-bls325-hv-brushless-low-profile-servo.html</t>
  </si>
  <si>
    <t>MKS HV747</t>
  </si>
  <si>
    <t>$109.45</t>
  </si>
  <si>
    <t>35.5×15×28.5</t>
  </si>
  <si>
    <t>Coreless, metal</t>
  </si>
  <si>
    <t>MKS 25T class</t>
  </si>
  <si>
    <t>High quality but needs high linkage ratio; not ideal for 20° elevon</t>
  </si>
  <si>
    <t>https://mks-servo.com/HV747</t>
  </si>
  <si>
    <t>KST X15-1208 V8.0</t>
  </si>
  <si>
    <t>€82.90</t>
  </si>
  <si>
    <t>Fast 15 mm servo; torque too low for this load unless high ratio</t>
  </si>
  <si>
    <t>https://kstservos.com/products/x15-1208-cyclic-coreless-hv-digital-servo-motor</t>
  </si>
  <si>
    <t>MKS HV6150H</t>
  </si>
  <si>
    <t>$71.11 / €65 class</t>
  </si>
  <si>
    <t>23.5×11×25</t>
  </si>
  <si>
    <t>Coreless, metal alloy</t>
  </si>
  <si>
    <t>MKS micro</t>
  </si>
  <si>
    <t>Too weak for main aileron/elevon load; only for smaller surfaces</t>
  </si>
  <si>
    <t>https://www.mks-servo.com/HV6150H</t>
  </si>
  <si>
    <t>Savox SV-1270TG+</t>
  </si>
  <si>
    <t>€78–90</t>
  </si>
  <si>
    <t>40.3×20.2×37.2</t>
  </si>
  <si>
    <t>Coreless, titanium</t>
  </si>
  <si>
    <t>Borderline/No for elevon</t>
  </si>
  <si>
    <t>Not slim; direct-drive aileron possible, elevon still needs margin</t>
  </si>
  <si>
    <t>https://www.teamsavox.com/product/sv-1270tgp/</t>
  </si>
  <si>
    <t>Recommended Linkage Geometry</t>
  </si>
  <si>
    <t>Ratios assume surface torque = servo stall torque × surface horn radius / servo arm radius. Servo travel is surface deflection × ratio.</t>
  </si>
  <si>
    <t>Setup</t>
  </si>
  <si>
    <t>Servo model</t>
  </si>
  <si>
    <t>Servo torque [kg·cm]</t>
  </si>
  <si>
    <t>Servo arm radius [mm]</t>
  </si>
  <si>
    <t>Surface horn radius [mm]</t>
  </si>
  <si>
    <t>Linkage ratio</t>
  </si>
  <si>
    <t>Effective surface torque [kg·cm]</t>
  </si>
  <si>
    <t>Aileron margin</t>
  </si>
  <si>
    <t>Elevon margin</t>
  </si>
  <si>
    <t>Servo travel for 20° surface</t>
  </si>
  <si>
    <t>Assessment</t>
  </si>
  <si>
    <t>Notes</t>
  </si>
  <si>
    <t>Strict default travel</t>
  </si>
  <si>
    <t>KST A15-1810</t>
  </si>
  <si>
    <t>Acceptable but tight for elevon</t>
  </si>
  <si>
    <t>Fits ±50° default travel; verify load with ground test.</t>
  </si>
  <si>
    <t>Recommended compromise</t>
  </si>
  <si>
    <t>Best starting point</t>
  </si>
  <si>
    <t>Requires about 54° servo travel for 20° surface; program endpoints or limit surface to about 18.5° if needed.</t>
  </si>
  <si>
    <t>High margin</t>
  </si>
  <si>
    <t>Strongest torque margin</t>
  </si>
  <si>
    <t>Requires about 60° servo travel for 20° surface. Use only if servo travel and linkage geometry allow it.</t>
  </si>
  <si>
    <t>Budget similar</t>
  </si>
  <si>
    <t>Possible budget option</t>
  </si>
  <si>
    <t>Thicker than KST; more RC-car oriented. Test centering, heat, and backlash.</t>
  </si>
  <si>
    <t>Higher-torque low profile</t>
  </si>
  <si>
    <t>Good torque math</t>
  </si>
  <si>
    <t>Only 40° servo travel at 20° surface; quality/reliability must be validated.</t>
  </si>
  <si>
    <t>Recommended Servo + Linkage BOM</t>
  </si>
  <si>
    <t>Quantity assumes two ailerons and two elevons = four control-surface servos total.</t>
  </si>
  <si>
    <t>Item</t>
  </si>
  <si>
    <t>Qty</t>
  </si>
  <si>
    <t>Unit price approx.</t>
  </si>
  <si>
    <t>Subtotal formula</t>
  </si>
  <si>
    <t>Purpose</t>
  </si>
  <si>
    <t>Recommended spec</t>
  </si>
  <si>
    <t>KST A15-1810 V8.0 servo</t>
  </si>
  <si>
    <t>Aileron/elevon actuation</t>
  </si>
  <si>
    <t>20 kg·cm @ 8.4 V, 15 mm thickness, 42 g</t>
  </si>
  <si>
    <t>Primary recommendation.</t>
  </si>
  <si>
    <t>Hobbywing UBEC 25A HV</t>
  </si>
  <si>
    <t>Servo power rail</t>
  </si>
  <si>
    <t>3–18S input, 5.2/6/7.4/8.4 V, 25A continuous / 50A peak</t>
  </si>
  <si>
    <t>https://www.hobbywing.com/en/products/ubec-25a-hv95.html</t>
  </si>
  <si>
    <t>Set to 8.4 V for HV servo torque. Price source in USD MSRP; EU price may differ.</t>
  </si>
  <si>
    <t>KST / 25T aluminum servo arms</t>
  </si>
  <si>
    <t>Servo-side arms</t>
  </si>
  <si>
    <t>25T-6, aluminum, M3 holes; shorten/drill to 10 mm radius if needed</t>
  </si>
  <si>
    <t>https://www.kst-servo-shop.de/Alu-Servoarm-44-5-50-8-mm-M3-25T-6-KST-0625.50/KST-4134</t>
  </si>
  <si>
    <t>Avoid plastic arms for this torque level.</t>
  </si>
  <si>
    <t>30 mm control horns</t>
  </si>
  <si>
    <t>Surface-side horns</t>
  </si>
  <si>
    <t>27–30 mm effective radius depending on final linkage ratio</t>
  </si>
  <si>
    <t>https://www.engelmt.de/mtaccessories/linking-material/control-horn/control-horns-smal-30mm</t>
  </si>
  <si>
    <t>Use reinforced mounting plates or bonded hardpoints.</t>
  </si>
  <si>
    <t>M3 ball links / hardware</t>
  </si>
  <si>
    <t>Slop-reduced link joints</t>
  </si>
  <si>
    <t>10-pack M3 ball links</t>
  </si>
  <si>
    <t>https://www.gator-rc.com/products/secraft-ball-link-3mm-qty-10</t>
  </si>
  <si>
    <t>One pack should cover 4 linkages with spares.</t>
  </si>
  <si>
    <t>M3 adjustable pushrods</t>
  </si>
  <si>
    <t>Pushrod linkage</t>
  </si>
  <si>
    <t>2.5 mm/M3 adjustable rods, length selected in CAD</t>
  </si>
  <si>
    <t>https://www.rcwarehouse.nl/shop/1772511-ph2-5mm-m3-55mm-65mm-75mm-85mm-95mm-l30mm-multiple-adjustable-push-rod-rod-end-ball-joint-linkage-set-assembly-servo-connecting-rod-stainless-steel-for-rc-airplane-aircraft-boat-4396</t>
  </si>
  <si>
    <t>Choose rod length after servo/horn placement is fixed.</t>
  </si>
  <si>
    <t>Estimated total</t>
  </si>
  <si>
    <t>Planning total</t>
  </si>
  <si>
    <t>Excludes shipping/VAT differences and spare parts.</t>
  </si>
  <si>
    <t>Servo Power Options</t>
  </si>
  <si>
    <t>Do not power four high-torque HV servos from the FC/PDB's small 5 V regulator.</t>
  </si>
  <si>
    <t>BEC</t>
  </si>
  <si>
    <t>Input voltage</t>
  </si>
  <si>
    <t>Output voltage</t>
  </si>
  <si>
    <t>Current rating</t>
  </si>
  <si>
    <t>Size/weight</t>
  </si>
  <si>
    <t>Use case</t>
  </si>
  <si>
    <t>Hobbywing UBEC 10A HV</t>
  </si>
  <si>
    <t>€43 / varies</t>
  </si>
  <si>
    <t>3–14S LiPo</t>
  </si>
  <si>
    <t>6.0 / 7.4 / 8.4 V</t>
  </si>
  <si>
    <t>10A continuous / 25A peak</t>
  </si>
  <si>
    <t>55×25×12 mm / 35 g</t>
  </si>
  <si>
    <t>Acceptable for 1–2 servos or light duty; not my pick for four control servos.</t>
  </si>
  <si>
    <t>https://www.hobbywing.com/en/products/ubec-10a-hv289</t>
  </si>
  <si>
    <t>$107 MSRP / varies</t>
  </si>
  <si>
    <t>3–18S LiPo</t>
  </si>
  <si>
    <t>5.2 / 6.0 / 7.4 / 8.4 V</t>
  </si>
  <si>
    <t>25A continuous / 50A peak</t>
  </si>
  <si>
    <t>55×40.2×17.6 mm / 74 g</t>
  </si>
  <si>
    <t>Recommended for four HV control-surface servos.</t>
  </si>
  <si>
    <t>Sources and Verification Notes</t>
  </si>
  <si>
    <t>URLs are plain text for auditability. Re-check availability/prices before ordering.</t>
  </si>
  <si>
    <t>Category</t>
  </si>
  <si>
    <t>URL</t>
  </si>
  <si>
    <t>Data used</t>
  </si>
  <si>
    <t>Calculation</t>
  </si>
  <si>
    <t>Aileron direct-drive calculation</t>
  </si>
  <si>
    <t>Aileron design torque 4.195 Nm / 42.8 kg·cm and pin sizing basis.</t>
  </si>
  <si>
    <t>Elevon direct-drive calculation</t>
  </si>
  <si>
    <t>Elevon design torque 4.781 Nm / 48.8 kg·cm and pin sizing basis.</t>
  </si>
  <si>
    <t>https://kstservos.com/products/a15-1810-20kg-0-10sec-hv-phosphor-bronze-hardened-steel-gear-servo</t>
  </si>
  <si>
    <t>20 kg·cm @ 8.4 V, 0.10 s/60°, 35.5×15×32.5 mm, 42 g.</t>
  </si>
  <si>
    <t>KST A15-1810 EU price</t>
  </si>
  <si>
    <t>€89.90 current example price.</t>
  </si>
  <si>
    <t>19 kg·cm @ 8.4 V, 0.073 s/60°, 40.8×20.2×26.5 mm, $45.99.</t>
  </si>
  <si>
    <t>25 kg·cm @ 8.4 V, 0.08 s/60°, 41×20.5×28 mm, €62.95.</t>
  </si>
  <si>
    <t>15 kg·cm @ 8.2 V, 35.5×15×28.5 mm.</t>
  </si>
  <si>
    <t>10.9 kg·cm @ 8.2 V, 23.5×11×25 mm.</t>
  </si>
  <si>
    <t>KST X15-1208</t>
  </si>
  <si>
    <t>13.5 kg·cm @ 8.4 V, 35.5×15×32.5 mm.</t>
  </si>
  <si>
    <t>3–14S input, 6/7.4/8.4 V output, 10A continuous / 25A peak.</t>
  </si>
  <si>
    <t>3–18S input, 5.2/6/7.4/8.4 V output, 25A continuous / 50A peak.</t>
  </si>
  <si>
    <t>Linkage</t>
  </si>
  <si>
    <t>KST aluminum servo arm</t>
  </si>
  <si>
    <t>25T-6 aluminum servo arm, M3 holes.</t>
  </si>
  <si>
    <t>AFRC 25T servo horn</t>
  </si>
  <si>
    <t>https://www.drone-fpv-racer.com/en/25t-aluminum-horn-for-servo-afrc-14028.html</t>
  </si>
  <si>
    <t>Budget 25T aluminum horn example.</t>
  </si>
  <si>
    <t>Kavan 30 mm control horns</t>
  </si>
  <si>
    <t>30 mm control horns, €1.90 pair example.</t>
  </si>
  <si>
    <t>Secraft M3 ball links</t>
  </si>
  <si>
    <t>M3 ball link set, $7.80 example.</t>
  </si>
  <si>
    <t>Adjustable M3 pushrod set</t>
  </si>
  <si>
    <t>2.5 mm/M3 pushrod linkage, €11.49 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</si>
</sst>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€0.00"/>
  </numFmts>
  <fonts count="5">
    <font>
      <sz val="11"/>
      <name val="Carlito"/>
    </font>
    <font>
      <b/>
      <sz val="14"/>
      <color rgb="FFFFFFFF"/>
      <name val="Carlito"/>
    </font>
    <font>
      <sz val="11"/>
      <color rgb="FF000000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1"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dBasis" displayName="LoadBasis" ref="A4:I6">
  <tableColumns count="9">
    <tableColumn id="1" xr3:uid="{00000000-0010-0000-0000-000001000000}" name="Surface"/>
    <tableColumn id="2" xr3:uid="{00000000-0010-0000-0000-000002000000}" name="Area [m²]"/>
    <tableColumn id="3" xr3:uid="{00000000-0010-0000-0000-000003000000}" name="Design speed [m/s]"/>
    <tableColumn id="4" xr3:uid="{00000000-0010-0000-0000-000004000000}" name="20° conservative force [N]"/>
    <tableColumn id="5" xr3:uid="{00000000-0010-0000-0000-000005000000}" name="Hinge moment [Nm]"/>
    <tableColumn id="6" xr3:uid="{00000000-0010-0000-0000-000006000000}" name="Design torque [Nm]"/>
    <tableColumn id="7" xr3:uid="{00000000-0010-0000-0000-000007000000}" name="Design torque [kg·cm]"/>
    <tableColumn id="8" xr3:uid="{00000000-0010-0000-0000-000008000000}" name="Practical pin recommendation"/>
    <tableColumn id="9" xr3:uid="{00000000-0010-0000-0000-000009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rvoOptions" displayName="ServoOptions" ref="A4:S11">
  <tableColumns count="19">
    <tableColumn id="1" xr3:uid="{00000000-0010-0000-0100-000001000000}" name="Rank"/>
    <tableColumn id="2" xr3:uid="{00000000-0010-0000-0100-000002000000}" name="Servo"/>
    <tableColumn id="3" xr3:uid="{00000000-0010-0000-0100-000003000000}" name="Price approx."/>
    <tableColumn id="4" xr3:uid="{00000000-0010-0000-0100-000004000000}" name="Voltage"/>
    <tableColumn id="5" xr3:uid="{00000000-0010-0000-0100-000005000000}" name="Torque @ HV [kg·cm]"/>
    <tableColumn id="6" xr3:uid="{00000000-0010-0000-0100-000006000000}" name="Speed @ HV [s/60°]"/>
    <tableColumn id="7" xr3:uid="{00000000-0010-0000-0100-000007000000}" name="Dimensions L×W×H [mm]"/>
    <tableColumn id="8" xr3:uid="{00000000-0010-0000-0100-000008000000}" name="Thickness [mm]"/>
    <tableColumn id="9" xr3:uid="{00000000-0010-0000-0100-000009000000}" name="Weight [g]"/>
    <tableColumn id="10" xr3:uid="{00000000-0010-0000-0100-00000A000000}" name="Motor/gears"/>
    <tableColumn id="11" xr3:uid="{00000000-0010-0000-0100-00000B000000}" name="Spline"/>
    <tableColumn id="12" xr3:uid="{00000000-0010-0000-0100-00000C000000}" name="Aileron min ratio"/>
    <tableColumn id="13" xr3:uid="{00000000-0010-0000-0100-00000D000000}" name="Elevon min ratio"/>
    <tableColumn id="14" xr3:uid="{00000000-0010-0000-0100-00000E000000}" name="Eff. torque @2.5:1"/>
    <tableColumn id="15" xr3:uid="{00000000-0010-0000-0100-00000F000000}" name="Eff. torque @2.7:1"/>
    <tableColumn id="16" xr3:uid="{00000000-0010-0000-0100-000010000000}" name="Eff. torque @3.0:1"/>
    <tableColumn id="17" xr3:uid="{00000000-0010-0000-0100-000011000000}" name="Direct-drive fit?"/>
    <tableColumn id="18" xr3:uid="{00000000-0010-0000-0100-000012000000}" name="Recommended use"/>
    <tableColumn id="19" xr3:uid="{00000000-0010-0000-0100-000013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nkageSetups" displayName="LinkageSetups" ref="A4:L9">
  <tableColumns count="12">
    <tableColumn id="1" xr3:uid="{00000000-0010-0000-0200-000001000000}" name="Setup"/>
    <tableColumn id="2" xr3:uid="{00000000-0010-0000-0200-000002000000}" name="Servo model"/>
    <tableColumn id="3" xr3:uid="{00000000-0010-0000-0200-000003000000}" name="Servo torque [kg·cm]"/>
    <tableColumn id="4" xr3:uid="{00000000-0010-0000-0200-000004000000}" name="Servo arm radius [mm]"/>
    <tableColumn id="5" xr3:uid="{00000000-0010-0000-0200-000005000000}" name="Surface horn radius [mm]"/>
    <tableColumn id="6" xr3:uid="{00000000-0010-0000-0200-000006000000}" name="Linkage ratio"/>
    <tableColumn id="7" xr3:uid="{00000000-0010-0000-0200-000007000000}" name="Effective surface torque [kg·cm]"/>
    <tableColumn id="8" xr3:uid="{00000000-0010-0000-0200-000008000000}" name="Aileron margin"/>
    <tableColumn id="9" xr3:uid="{00000000-0010-0000-0200-000009000000}" name="Elevon margin"/>
    <tableColumn id="10" xr3:uid="{00000000-0010-0000-0200-00000A000000}" name="Servo travel for 20° surface"/>
    <tableColumn id="11" xr3:uid="{00000000-0010-0000-0200-00000B000000}" name="Assessment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rvoBOM" displayName="ServoBOM" ref="A4:H11">
  <tableColumns count="8">
    <tableColumn id="1" xr3:uid="{00000000-0010-0000-0300-000001000000}" name="Item"/>
    <tableColumn id="2" xr3:uid="{00000000-0010-0000-0300-000002000000}" name="Qty"/>
    <tableColumn id="3" xr3:uid="{00000000-0010-0000-0300-000003000000}" name="Unit price approx."/>
    <tableColumn id="4" xr3:uid="{00000000-0010-0000-0300-000004000000}" name="Subtotal formula"/>
    <tableColumn id="5" xr3:uid="{00000000-0010-0000-0300-000005000000}" name="Purpose"/>
    <tableColumn id="6" xr3:uid="{00000000-0010-0000-0300-000006000000}" name="Recommended spec"/>
    <tableColumn id="7" xr3:uid="{00000000-0010-0000-0300-000007000000}" name="Source URL"/>
    <tableColumn id="8" xr3:uid="{00000000-0010-0000-0300-000008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ECPower" displayName="BECPower" ref="A4:H6">
  <tableColumns count="8">
    <tableColumn id="1" xr3:uid="{00000000-0010-0000-0400-000001000000}" name="BEC"/>
    <tableColumn id="2" xr3:uid="{00000000-0010-0000-0400-000002000000}" name="Price approx."/>
    <tableColumn id="3" xr3:uid="{00000000-0010-0000-0400-000003000000}" name="Input voltage"/>
    <tableColumn id="4" xr3:uid="{00000000-0010-0000-0400-000004000000}" name="Output voltage"/>
    <tableColumn id="5" xr3:uid="{00000000-0010-0000-0400-000005000000}" name="Current rating"/>
    <tableColumn id="6" xr3:uid="{00000000-0010-0000-0400-000006000000}" name="Size/weight"/>
    <tableColumn id="7" xr3:uid="{00000000-0010-0000-0400-000007000000}" name="Use case"/>
    <tableColumn id="8" xr3:uid="{00000000-0010-0000-0400-000008000000}" name="Source 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" displayName="Sources" ref="A4:D20">
  <tableColumns count="4">
    <tableColumn id="1" xr3:uid="{00000000-0010-0000-0500-000001000000}" name="Category"/>
    <tableColumn id="2" xr3:uid="{00000000-0010-0000-0500-000002000000}" name="Item"/>
    <tableColumn id="3" xr3:uid="{00000000-0010-0000-0500-000003000000}" name="URL"/>
    <tableColumn id="4" xr3:uid="{00000000-0010-0000-0500-000004000000}" name="Data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vansports.nl/de/xq-power-xq-bls325-hv-brushless-low-profile-servo.html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agfrc.com/index.php?id=2436" TargetMode="External"/><Relationship Id="rId1" Type="http://schemas.openxmlformats.org/officeDocument/2006/relationships/hyperlink" Target="https://www.kst-servo-shop.de/KST-A15-1810-V8.0-20kg.cmat8.4V-Coreless-Motor/KST-1026" TargetMode="External"/><Relationship Id="rId6" Type="http://schemas.openxmlformats.org/officeDocument/2006/relationships/hyperlink" Target="https://www.mks-servo.com/HV6150H" TargetMode="External"/><Relationship Id="rId5" Type="http://schemas.openxmlformats.org/officeDocument/2006/relationships/hyperlink" Target="https://kstservos.com/products/x15-1208-cyclic-coreless-hv-digital-servo-motor" TargetMode="External"/><Relationship Id="rId4" Type="http://schemas.openxmlformats.org/officeDocument/2006/relationships/hyperlink" Target="https://mks-servo.com/HV74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ator-rc.com/products/secraft-ball-link-3mm-qty-10" TargetMode="External"/><Relationship Id="rId2" Type="http://schemas.openxmlformats.org/officeDocument/2006/relationships/hyperlink" Target="https://www.engelmt.de/mtaccessories/linking-material/control-horn/control-horns-smal-30mm" TargetMode="External"/><Relationship Id="rId1" Type="http://schemas.openxmlformats.org/officeDocument/2006/relationships/hyperlink" Target="https://www.kst-servo-shop.de/Alu-Servoarm-44-5-50-8-mm-M3-25T-6-KST-0625.50/KST-4134" TargetMode="Externa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www.rcwarehouse.nl/shop/1772511-ph2-5mm-m3-55mm-65mm-75mm-85mm-95mm-l30mm-multiple-adjustable-push-rod-rod-end-ball-joint-linkage-set-assembly-servo-connecting-rod-stainless-steel-for-rc-airplane-aircraft-boat-43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sqref="A1:K1"/>
    </sheetView>
  </sheetViews>
  <sheetFormatPr defaultRowHeight="14.25"/>
  <cols>
    <col min="1" max="1" width="26" customWidth="1"/>
    <col min="2" max="2" width="44" customWidth="1"/>
    <col min="3" max="3" width="58" customWidth="1"/>
  </cols>
  <sheetData>
    <row r="1" spans="1:11" ht="27.9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2" customHeight="1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5">
      <c r="A3" s="1" t="s">
        <v>2</v>
      </c>
      <c r="B3" s="1" t="s">
        <v>3</v>
      </c>
      <c r="C3" s="1" t="s">
        <v>4</v>
      </c>
    </row>
    <row r="4" spans="1:11" ht="28.5">
      <c r="A4" s="2" t="s">
        <v>5</v>
      </c>
      <c r="B4" s="2" t="s">
        <v>6</v>
      </c>
      <c r="C4" s="2" t="s">
        <v>7</v>
      </c>
    </row>
    <row r="5" spans="1:11" ht="28.5">
      <c r="A5" s="2" t="s">
        <v>8</v>
      </c>
      <c r="B5" s="2" t="s">
        <v>9</v>
      </c>
      <c r="C5" s="2" t="s">
        <v>10</v>
      </c>
    </row>
    <row r="6" spans="1:11" ht="28.5">
      <c r="A6" s="2" t="s">
        <v>11</v>
      </c>
      <c r="B6" s="2" t="s">
        <v>12</v>
      </c>
      <c r="C6" s="2" t="s">
        <v>13</v>
      </c>
    </row>
    <row r="7" spans="1:11" ht="28.5">
      <c r="A7" s="2" t="s">
        <v>14</v>
      </c>
      <c r="B7" s="2" t="s">
        <v>15</v>
      </c>
      <c r="C7" s="2" t="s">
        <v>16</v>
      </c>
    </row>
    <row r="8" spans="1:11" ht="28.5">
      <c r="A8" s="2" t="s">
        <v>17</v>
      </c>
      <c r="B8" s="2" t="s">
        <v>18</v>
      </c>
      <c r="C8" s="2" t="s">
        <v>19</v>
      </c>
    </row>
    <row r="9" spans="1:11" ht="28.5">
      <c r="A9" s="2" t="s">
        <v>20</v>
      </c>
      <c r="B9" s="2" t="s">
        <v>21</v>
      </c>
      <c r="C9" s="2" t="s">
        <v>22</v>
      </c>
    </row>
    <row r="10" spans="1:11" ht="28.5">
      <c r="A10" s="2" t="s">
        <v>23</v>
      </c>
      <c r="B10" s="2" t="s">
        <v>24</v>
      </c>
      <c r="C10" s="2" t="s">
        <v>25</v>
      </c>
    </row>
    <row r="11" spans="1:11" ht="28.5">
      <c r="A11" s="2" t="s">
        <v>26</v>
      </c>
      <c r="B11" s="2" t="s">
        <v>27</v>
      </c>
      <c r="C11" s="2" t="s">
        <v>28</v>
      </c>
    </row>
    <row r="12" spans="1:11" ht="28.5">
      <c r="A12" s="2" t="s">
        <v>29</v>
      </c>
      <c r="B12" s="2" t="s">
        <v>30</v>
      </c>
      <c r="C12" s="2" t="s">
        <v>31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sqref="A1:K1"/>
    </sheetView>
  </sheetViews>
  <sheetFormatPr defaultRowHeight="14.25"/>
  <cols>
    <col min="1" max="1" width="14" customWidth="1"/>
    <col min="2" max="2" width="12" customWidth="1"/>
    <col min="3" max="3" width="16" customWidth="1"/>
    <col min="4" max="4" width="20" customWidth="1"/>
    <col min="5" max="6" width="18" customWidth="1"/>
    <col min="7" max="7" width="20" customWidth="1"/>
    <col min="8" max="8" width="46" customWidth="1"/>
    <col min="9" max="9" width="44" customWidth="1"/>
  </cols>
  <sheetData>
    <row r="1" spans="1:11" ht="27.95" customHeight="1">
      <c r="A1" s="10" t="s">
        <v>32</v>
      </c>
      <c r="B1" s="11"/>
      <c r="C1" s="11"/>
      <c r="D1" s="11"/>
      <c r="E1" s="11"/>
      <c r="F1" s="11"/>
      <c r="G1" s="11"/>
      <c r="H1" s="11"/>
      <c r="I1" s="11"/>
      <c r="J1" s="8"/>
      <c r="K1" s="8"/>
    </row>
    <row r="2" spans="1:11" ht="42" customHeight="1">
      <c r="A2" s="9" t="s">
        <v>33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30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</row>
    <row r="5" spans="1:11" ht="28.5">
      <c r="A5" s="2" t="s">
        <v>43</v>
      </c>
      <c r="B5" s="2">
        <v>5.6759999999999998E-2</v>
      </c>
      <c r="C5" s="2">
        <v>24</v>
      </c>
      <c r="D5" s="2">
        <v>41.95</v>
      </c>
      <c r="E5" s="2">
        <v>1.258</v>
      </c>
      <c r="F5" s="2">
        <v>4.1950000000000003</v>
      </c>
      <c r="G5" s="3">
        <f>F5*10.19716213</f>
        <v>42.777095135350002</v>
      </c>
      <c r="H5" s="2" t="s">
        <v>44</v>
      </c>
      <c r="I5" s="2" t="s">
        <v>45</v>
      </c>
    </row>
    <row r="6" spans="1:11">
      <c r="A6" s="2" t="s">
        <v>46</v>
      </c>
      <c r="B6" s="2">
        <v>4.9000000000000002E-2</v>
      </c>
      <c r="C6" s="2">
        <v>24</v>
      </c>
      <c r="D6" s="2">
        <v>36.22</v>
      </c>
      <c r="E6" s="2">
        <v>1.4339999999999999</v>
      </c>
      <c r="F6" s="2">
        <v>4.7809999999999997</v>
      </c>
      <c r="G6" s="3">
        <f>F6*10.19716213</f>
        <v>48.752632143530001</v>
      </c>
      <c r="H6" s="2" t="s">
        <v>47</v>
      </c>
      <c r="I6" s="2" t="s">
        <v>48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topLeftCell="J1" workbookViewId="0">
      <selection activeCell="S10" sqref="S10"/>
    </sheetView>
  </sheetViews>
  <sheetFormatPr defaultRowHeight="14.25"/>
  <cols>
    <col min="1" max="1" width="8" customWidth="1"/>
    <col min="2" max="2" width="28" customWidth="1"/>
    <col min="3" max="3" width="18" customWidth="1"/>
    <col min="4" max="4" width="15" customWidth="1"/>
    <col min="5" max="6" width="16" customWidth="1"/>
    <col min="7" max="7" width="22" customWidth="1"/>
    <col min="8" max="9" width="12" customWidth="1"/>
    <col min="10" max="10" width="20" customWidth="1"/>
    <col min="11" max="11" width="12" customWidth="1"/>
    <col min="12" max="13" width="16" customWidth="1"/>
    <col min="14" max="16" width="17" customWidth="1"/>
    <col min="17" max="17" width="18" customWidth="1"/>
    <col min="18" max="18" width="38" customWidth="1"/>
    <col min="19" max="19" width="58" customWidth="1"/>
  </cols>
  <sheetData>
    <row r="1" spans="1:19" ht="27.95" customHeight="1">
      <c r="A1" s="7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9" ht="42" customHeight="1">
      <c r="A2" s="9" t="s">
        <v>50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9" ht="30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</row>
    <row r="5" spans="1:19" ht="28.5">
      <c r="A5" s="2">
        <v>1</v>
      </c>
      <c r="B5" s="2" t="s">
        <v>21</v>
      </c>
      <c r="C5" s="2" t="s">
        <v>70</v>
      </c>
      <c r="D5" s="2" t="s">
        <v>71</v>
      </c>
      <c r="E5" s="2">
        <v>20</v>
      </c>
      <c r="F5" s="2">
        <v>0.1</v>
      </c>
      <c r="G5" s="2" t="s">
        <v>72</v>
      </c>
      <c r="H5" s="2">
        <v>15</v>
      </c>
      <c r="I5" s="2">
        <v>42</v>
      </c>
      <c r="J5" s="2" t="s">
        <v>73</v>
      </c>
      <c r="K5" s="2" t="s">
        <v>74</v>
      </c>
      <c r="L5" s="4">
        <f>Load_Basis!$G$5/E5</f>
        <v>2.1388547567675</v>
      </c>
      <c r="M5" s="4">
        <f>Load_Basis!$G$6/E5</f>
        <v>2.4376316071764998</v>
      </c>
      <c r="N5" s="4">
        <f t="shared" ref="N5:N11" si="0">E5*2.5</f>
        <v>50</v>
      </c>
      <c r="O5" s="4">
        <f t="shared" ref="O5:O11" si="1">E5*2.7</f>
        <v>54</v>
      </c>
      <c r="P5" s="4">
        <f t="shared" ref="P5:P11" si="2">E5*3</f>
        <v>60</v>
      </c>
      <c r="Q5" s="2" t="s">
        <v>75</v>
      </c>
      <c r="R5" s="2" t="s">
        <v>76</v>
      </c>
      <c r="S5" s="12" t="s">
        <v>77</v>
      </c>
    </row>
    <row r="6" spans="1:19" ht="28.5">
      <c r="A6" s="2">
        <v>2</v>
      </c>
      <c r="B6" s="2" t="s">
        <v>78</v>
      </c>
      <c r="C6" s="2" t="s">
        <v>79</v>
      </c>
      <c r="D6" s="2" t="s">
        <v>80</v>
      </c>
      <c r="E6" s="2">
        <v>19</v>
      </c>
      <c r="F6" s="2">
        <v>7.2999999999999995E-2</v>
      </c>
      <c r="G6" s="2" t="s">
        <v>81</v>
      </c>
      <c r="H6" s="2">
        <v>20.2</v>
      </c>
      <c r="I6" s="2">
        <v>50</v>
      </c>
      <c r="J6" s="2" t="s">
        <v>82</v>
      </c>
      <c r="K6" s="2" t="s">
        <v>83</v>
      </c>
      <c r="L6" s="4">
        <f>Load_Basis!$G$5/E6</f>
        <v>2.2514260597552633</v>
      </c>
      <c r="M6" s="4">
        <f>Load_Basis!$G$6/E6</f>
        <v>2.5659280075542106</v>
      </c>
      <c r="N6" s="4">
        <f t="shared" si="0"/>
        <v>47.5</v>
      </c>
      <c r="O6" s="4">
        <f t="shared" si="1"/>
        <v>51.300000000000004</v>
      </c>
      <c r="P6" s="4">
        <f t="shared" si="2"/>
        <v>57</v>
      </c>
      <c r="Q6" s="2" t="s">
        <v>75</v>
      </c>
      <c r="R6" s="2" t="s">
        <v>84</v>
      </c>
      <c r="S6" s="12" t="s">
        <v>85</v>
      </c>
    </row>
    <row r="7" spans="1:19" ht="28.5">
      <c r="A7" s="2">
        <v>3</v>
      </c>
      <c r="B7" s="2" t="s">
        <v>86</v>
      </c>
      <c r="C7" s="2" t="s">
        <v>87</v>
      </c>
      <c r="D7" s="2" t="s">
        <v>71</v>
      </c>
      <c r="E7" s="2">
        <v>25</v>
      </c>
      <c r="F7" s="2">
        <v>0.08</v>
      </c>
      <c r="G7" s="2" t="s">
        <v>88</v>
      </c>
      <c r="H7" s="2">
        <v>20.5</v>
      </c>
      <c r="I7" s="2">
        <v>60</v>
      </c>
      <c r="J7" s="2" t="s">
        <v>82</v>
      </c>
      <c r="K7" s="2" t="s">
        <v>89</v>
      </c>
      <c r="L7" s="4">
        <f>Load_Basis!$G$5/E7</f>
        <v>1.7110838054140001</v>
      </c>
      <c r="M7" s="4">
        <f>Load_Basis!$G$6/E7</f>
        <v>1.9501052857412</v>
      </c>
      <c r="N7" s="4">
        <f t="shared" si="0"/>
        <v>62.5</v>
      </c>
      <c r="O7" s="4">
        <f t="shared" si="1"/>
        <v>67.5</v>
      </c>
      <c r="P7" s="4">
        <f t="shared" si="2"/>
        <v>75</v>
      </c>
      <c r="Q7" s="2" t="s">
        <v>75</v>
      </c>
      <c r="R7" s="2" t="s">
        <v>90</v>
      </c>
      <c r="S7" s="12" t="s">
        <v>91</v>
      </c>
    </row>
    <row r="8" spans="1:19" ht="28.5">
      <c r="A8" s="2">
        <v>4</v>
      </c>
      <c r="B8" s="2" t="s">
        <v>92</v>
      </c>
      <c r="C8" s="2" t="s">
        <v>93</v>
      </c>
      <c r="D8" s="2" t="s">
        <v>71</v>
      </c>
      <c r="E8" s="2">
        <v>15</v>
      </c>
      <c r="F8" s="2">
        <v>0.13</v>
      </c>
      <c r="G8" s="2" t="s">
        <v>94</v>
      </c>
      <c r="H8" s="2">
        <v>15</v>
      </c>
      <c r="I8" s="2">
        <v>38.549999999999997</v>
      </c>
      <c r="J8" s="2" t="s">
        <v>95</v>
      </c>
      <c r="K8" s="2" t="s">
        <v>96</v>
      </c>
      <c r="L8" s="4">
        <f>Load_Basis!$G$5/E8</f>
        <v>2.8518063423566669</v>
      </c>
      <c r="M8" s="4">
        <f>Load_Basis!$G$6/E8</f>
        <v>3.2501754762353334</v>
      </c>
      <c r="N8" s="4">
        <f t="shared" si="0"/>
        <v>37.5</v>
      </c>
      <c r="O8" s="4">
        <f t="shared" si="1"/>
        <v>40.5</v>
      </c>
      <c r="P8" s="4">
        <f t="shared" si="2"/>
        <v>45</v>
      </c>
      <c r="Q8" s="2" t="s">
        <v>75</v>
      </c>
      <c r="R8" s="2" t="s">
        <v>97</v>
      </c>
      <c r="S8" s="12" t="s">
        <v>98</v>
      </c>
    </row>
    <row r="9" spans="1:19" ht="28.5">
      <c r="A9" s="2">
        <v>5</v>
      </c>
      <c r="B9" s="2" t="s">
        <v>99</v>
      </c>
      <c r="C9" s="2" t="s">
        <v>100</v>
      </c>
      <c r="D9" s="2" t="s">
        <v>71</v>
      </c>
      <c r="E9" s="2">
        <v>13.5</v>
      </c>
      <c r="F9" s="2">
        <v>7.0000000000000007E-2</v>
      </c>
      <c r="G9" s="2" t="s">
        <v>72</v>
      </c>
      <c r="H9" s="2">
        <v>15</v>
      </c>
      <c r="I9" s="2">
        <v>40</v>
      </c>
      <c r="J9" s="2" t="s">
        <v>73</v>
      </c>
      <c r="K9" s="2" t="s">
        <v>74</v>
      </c>
      <c r="L9" s="4">
        <f>Load_Basis!$G$5/E9</f>
        <v>3.1686737137296297</v>
      </c>
      <c r="M9" s="4">
        <f>Load_Basis!$G$6/E9</f>
        <v>3.6113060847059262</v>
      </c>
      <c r="N9" s="4">
        <f t="shared" si="0"/>
        <v>33.75</v>
      </c>
      <c r="O9" s="4">
        <f t="shared" si="1"/>
        <v>36.450000000000003</v>
      </c>
      <c r="P9" s="4">
        <f t="shared" si="2"/>
        <v>40.5</v>
      </c>
      <c r="Q9" s="2" t="s">
        <v>75</v>
      </c>
      <c r="R9" s="2" t="s">
        <v>101</v>
      </c>
      <c r="S9" s="12" t="s">
        <v>102</v>
      </c>
    </row>
    <row r="10" spans="1:19" ht="28.5">
      <c r="A10" s="2">
        <v>6</v>
      </c>
      <c r="B10" s="2" t="s">
        <v>103</v>
      </c>
      <c r="C10" s="2" t="s">
        <v>104</v>
      </c>
      <c r="D10" s="2" t="s">
        <v>80</v>
      </c>
      <c r="E10" s="2">
        <v>10.9</v>
      </c>
      <c r="F10" s="2">
        <v>0.159</v>
      </c>
      <c r="G10" s="2" t="s">
        <v>105</v>
      </c>
      <c r="H10" s="2">
        <v>11</v>
      </c>
      <c r="I10" s="2">
        <v>16.399999999999999</v>
      </c>
      <c r="J10" s="2" t="s">
        <v>106</v>
      </c>
      <c r="K10" s="2" t="s">
        <v>107</v>
      </c>
      <c r="L10" s="4">
        <f>Load_Basis!$G$5/E10</f>
        <v>3.9245041408577981</v>
      </c>
      <c r="M10" s="4">
        <f>Load_Basis!$G$6/E10</f>
        <v>4.4727185452779814</v>
      </c>
      <c r="N10" s="4">
        <f t="shared" si="0"/>
        <v>27.25</v>
      </c>
      <c r="O10" s="4">
        <f t="shared" si="1"/>
        <v>29.430000000000003</v>
      </c>
      <c r="P10" s="4">
        <f t="shared" si="2"/>
        <v>32.700000000000003</v>
      </c>
      <c r="Q10" s="2" t="s">
        <v>75</v>
      </c>
      <c r="R10" s="2" t="s">
        <v>108</v>
      </c>
      <c r="S10" s="12" t="s">
        <v>109</v>
      </c>
    </row>
    <row r="11" spans="1:19" ht="28.5">
      <c r="A11" s="2">
        <v>7</v>
      </c>
      <c r="B11" s="2" t="s">
        <v>110</v>
      </c>
      <c r="C11" s="2" t="s">
        <v>111</v>
      </c>
      <c r="D11" s="2" t="s">
        <v>71</v>
      </c>
      <c r="E11" s="2">
        <v>45</v>
      </c>
      <c r="F11" s="2">
        <v>0.1</v>
      </c>
      <c r="G11" s="2" t="s">
        <v>112</v>
      </c>
      <c r="H11" s="2">
        <v>20.2</v>
      </c>
      <c r="I11" s="2">
        <v>64</v>
      </c>
      <c r="J11" s="2" t="s">
        <v>113</v>
      </c>
      <c r="K11" s="2" t="s">
        <v>89</v>
      </c>
      <c r="L11" s="4">
        <f>Load_Basis!$G$5/E11</f>
        <v>0.95060211411888895</v>
      </c>
      <c r="M11" s="4">
        <f>Load_Basis!$G$6/E11</f>
        <v>1.0833918254117778</v>
      </c>
      <c r="N11" s="4">
        <f t="shared" si="0"/>
        <v>112.5</v>
      </c>
      <c r="O11" s="4">
        <f t="shared" si="1"/>
        <v>121.50000000000001</v>
      </c>
      <c r="P11" s="4">
        <f t="shared" si="2"/>
        <v>135</v>
      </c>
      <c r="Q11" s="2" t="s">
        <v>114</v>
      </c>
      <c r="R11" s="2" t="s">
        <v>115</v>
      </c>
      <c r="S11" s="2" t="s">
        <v>116</v>
      </c>
    </row>
  </sheetData>
  <mergeCells count="2">
    <mergeCell ref="A1:K1"/>
    <mergeCell ref="A2:K2"/>
  </mergeCells>
  <hyperlinks>
    <hyperlink ref="S5" r:id="rId1" xr:uid="{776D56FA-B7F4-49A9-9F3C-2C24DADEF0A2}"/>
    <hyperlink ref="S6" r:id="rId2" xr:uid="{E1A27E62-C955-4EA6-953E-DDF3AC499BA0}"/>
    <hyperlink ref="S7" r:id="rId3" xr:uid="{1E548AB9-6E61-4503-B6AB-664134BFF724}"/>
    <hyperlink ref="S8" r:id="rId4" xr:uid="{C63CECA3-EDF7-4750-B47B-6B3FD5F0A5CD}"/>
    <hyperlink ref="S9" r:id="rId5" xr:uid="{848FC635-AEFB-4197-B38A-120E2AAF2259}"/>
    <hyperlink ref="S10" r:id="rId6" xr:uid="{63FBBF52-ACA2-4040-8FEE-460D63C86934}"/>
  </hyperlinks>
  <pageMargins left="0.7" right="0.7" top="0.75" bottom="0.75" header="0.3" footer="0.3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selection sqref="A1:K1"/>
    </sheetView>
  </sheetViews>
  <sheetFormatPr defaultRowHeight="14.25"/>
  <cols>
    <col min="1" max="2" width="20" customWidth="1"/>
    <col min="3" max="3" width="16" customWidth="1"/>
    <col min="4" max="4" width="18" customWidth="1"/>
    <col min="5" max="5" width="20" customWidth="1"/>
    <col min="6" max="6" width="14" customWidth="1"/>
    <col min="7" max="7" width="22" customWidth="1"/>
    <col min="8" max="9" width="14" customWidth="1"/>
    <col min="10" max="10" width="22" customWidth="1"/>
    <col min="11" max="11" width="24" customWidth="1"/>
    <col min="12" max="12" width="58" customWidth="1"/>
  </cols>
  <sheetData>
    <row r="1" spans="1:12" ht="27.95" customHeight="1">
      <c r="A1" s="7" t="s">
        <v>117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ht="42" customHeight="1">
      <c r="A2" s="9" t="s">
        <v>118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2" ht="30">
      <c r="A4" s="1" t="s">
        <v>119</v>
      </c>
      <c r="B4" s="1" t="s">
        <v>120</v>
      </c>
      <c r="C4" s="1" t="s">
        <v>121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126</v>
      </c>
      <c r="I4" s="1" t="s">
        <v>127</v>
      </c>
      <c r="J4" s="1" t="s">
        <v>128</v>
      </c>
      <c r="K4" s="1" t="s">
        <v>129</v>
      </c>
      <c r="L4" s="1" t="s">
        <v>130</v>
      </c>
    </row>
    <row r="5" spans="1:12" ht="28.5">
      <c r="A5" s="2" t="s">
        <v>131</v>
      </c>
      <c r="B5" s="2" t="s">
        <v>132</v>
      </c>
      <c r="C5" s="2">
        <v>20</v>
      </c>
      <c r="D5" s="2">
        <v>10</v>
      </c>
      <c r="E5" s="2">
        <v>25</v>
      </c>
      <c r="F5" s="4">
        <f>E5/D5</f>
        <v>2.5</v>
      </c>
      <c r="G5" s="4">
        <f>C5*F5</f>
        <v>50</v>
      </c>
      <c r="H5" s="5">
        <f>G5/Load_Basis!$G$5-1</f>
        <v>0.16884982119043324</v>
      </c>
      <c r="I5" s="5">
        <f>G5/Load_Basis!$G$6-1</f>
        <v>2.5585651515136476E-2</v>
      </c>
      <c r="J5" s="4">
        <f>20*F5</f>
        <v>50</v>
      </c>
      <c r="K5" s="2" t="s">
        <v>133</v>
      </c>
      <c r="L5" s="2" t="s">
        <v>134</v>
      </c>
    </row>
    <row r="6" spans="1:12" ht="28.5">
      <c r="A6" s="2" t="s">
        <v>135</v>
      </c>
      <c r="B6" s="2" t="s">
        <v>132</v>
      </c>
      <c r="C6" s="2">
        <v>20</v>
      </c>
      <c r="D6" s="2">
        <v>10</v>
      </c>
      <c r="E6" s="2">
        <v>27</v>
      </c>
      <c r="F6" s="4">
        <f>E6/D6</f>
        <v>2.7</v>
      </c>
      <c r="G6" s="4">
        <f>C6*F6</f>
        <v>54</v>
      </c>
      <c r="H6" s="5">
        <f>G6/Load_Basis!$G$5-1</f>
        <v>0.26235780688566779</v>
      </c>
      <c r="I6" s="5">
        <f>G6/Load_Basis!$G$6-1</f>
        <v>0.10763250363634747</v>
      </c>
      <c r="J6" s="4">
        <f>20*F6</f>
        <v>54</v>
      </c>
      <c r="K6" s="2" t="s">
        <v>136</v>
      </c>
      <c r="L6" s="2" t="s">
        <v>137</v>
      </c>
    </row>
    <row r="7" spans="1:12" ht="28.5">
      <c r="A7" s="2" t="s">
        <v>138</v>
      </c>
      <c r="B7" s="2" t="s">
        <v>132</v>
      </c>
      <c r="C7" s="2">
        <v>20</v>
      </c>
      <c r="D7" s="2">
        <v>10</v>
      </c>
      <c r="E7" s="2">
        <v>30</v>
      </c>
      <c r="F7" s="4">
        <f>E7/D7</f>
        <v>3</v>
      </c>
      <c r="G7" s="4">
        <f>C7*F7</f>
        <v>60</v>
      </c>
      <c r="H7" s="5">
        <f>G7/Load_Basis!$G$5-1</f>
        <v>0.40261978542851984</v>
      </c>
      <c r="I7" s="5">
        <f>G7/Load_Basis!$G$6-1</f>
        <v>0.23070278181816373</v>
      </c>
      <c r="J7" s="4">
        <f>20*F7</f>
        <v>60</v>
      </c>
      <c r="K7" s="2" t="s">
        <v>139</v>
      </c>
      <c r="L7" s="2" t="s">
        <v>140</v>
      </c>
    </row>
    <row r="8" spans="1:12" ht="28.5">
      <c r="A8" s="2" t="s">
        <v>141</v>
      </c>
      <c r="B8" s="2" t="s">
        <v>78</v>
      </c>
      <c r="C8" s="2">
        <v>19</v>
      </c>
      <c r="D8" s="2">
        <v>10</v>
      </c>
      <c r="E8" s="2">
        <v>27</v>
      </c>
      <c r="F8" s="4">
        <f>E8/D8</f>
        <v>2.7</v>
      </c>
      <c r="G8" s="4">
        <f>C8*F8</f>
        <v>51.300000000000004</v>
      </c>
      <c r="H8" s="5">
        <f>G8/Load_Basis!$G$5-1</f>
        <v>0.19923991654138451</v>
      </c>
      <c r="I8" s="5">
        <f>G8/Load_Basis!$G$6-1</f>
        <v>5.2250878454530136E-2</v>
      </c>
      <c r="J8" s="4">
        <f>20*F8</f>
        <v>54</v>
      </c>
      <c r="K8" s="2" t="s">
        <v>142</v>
      </c>
      <c r="L8" s="2" t="s">
        <v>143</v>
      </c>
    </row>
    <row r="9" spans="1:12" ht="28.5">
      <c r="A9" s="2" t="s">
        <v>144</v>
      </c>
      <c r="B9" s="2" t="s">
        <v>86</v>
      </c>
      <c r="C9" s="2">
        <v>25</v>
      </c>
      <c r="D9" s="2">
        <v>10</v>
      </c>
      <c r="E9" s="2">
        <v>20</v>
      </c>
      <c r="F9" s="4">
        <f>E9/D9</f>
        <v>2</v>
      </c>
      <c r="G9" s="4">
        <f>C9*F9</f>
        <v>50</v>
      </c>
      <c r="H9" s="5">
        <f>G9/Load_Basis!$G$5-1</f>
        <v>0.16884982119043324</v>
      </c>
      <c r="I9" s="5">
        <f>G9/Load_Basis!$G$6-1</f>
        <v>2.5585651515136476E-2</v>
      </c>
      <c r="J9" s="4">
        <f>20*F9</f>
        <v>40</v>
      </c>
      <c r="K9" s="2" t="s">
        <v>145</v>
      </c>
      <c r="L9" s="2" t="s">
        <v>146</v>
      </c>
    </row>
  </sheetData>
  <mergeCells count="2">
    <mergeCell ref="A1:K1"/>
    <mergeCell ref="A2:K2"/>
  </mergeCells>
  <conditionalFormatting sqref="H5:I9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G5" sqref="G5"/>
    </sheetView>
  </sheetViews>
  <sheetFormatPr defaultRowHeight="14.25"/>
  <cols>
    <col min="1" max="1" width="30" customWidth="1"/>
    <col min="2" max="2" width="8" customWidth="1"/>
    <col min="3" max="4" width="16" customWidth="1"/>
    <col min="5" max="5" width="22" customWidth="1"/>
    <col min="6" max="6" width="44" customWidth="1"/>
    <col min="7" max="7" width="60" customWidth="1"/>
    <col min="8" max="8" width="48" customWidth="1"/>
  </cols>
  <sheetData>
    <row r="1" spans="1:11" ht="27.95" customHeight="1">
      <c r="A1" s="7" t="s">
        <v>147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2" customHeight="1">
      <c r="A2" s="9" t="s">
        <v>148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30">
      <c r="A4" s="1" t="s">
        <v>149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69</v>
      </c>
      <c r="H4" s="1" t="s">
        <v>130</v>
      </c>
    </row>
    <row r="5" spans="1:11" ht="28.5">
      <c r="A5" s="2" t="s">
        <v>155</v>
      </c>
      <c r="B5" s="2">
        <v>4</v>
      </c>
      <c r="C5" s="6">
        <v>89.9</v>
      </c>
      <c r="D5" s="6">
        <f t="shared" ref="D5:D10" si="0">B5*C5</f>
        <v>359.6</v>
      </c>
      <c r="E5" s="2" t="s">
        <v>156</v>
      </c>
      <c r="F5" s="2" t="s">
        <v>157</v>
      </c>
      <c r="G5" s="2" t="s">
        <v>77</v>
      </c>
      <c r="H5" s="2" t="s">
        <v>158</v>
      </c>
    </row>
    <row r="6" spans="1:11" ht="28.5">
      <c r="A6" s="2" t="s">
        <v>159</v>
      </c>
      <c r="B6" s="2">
        <v>1</v>
      </c>
      <c r="C6" s="6">
        <v>107</v>
      </c>
      <c r="D6" s="6">
        <f t="shared" si="0"/>
        <v>107</v>
      </c>
      <c r="E6" s="2" t="s">
        <v>160</v>
      </c>
      <c r="F6" s="2" t="s">
        <v>161</v>
      </c>
      <c r="G6" s="2" t="s">
        <v>162</v>
      </c>
      <c r="H6" s="2" t="s">
        <v>163</v>
      </c>
    </row>
    <row r="7" spans="1:11" ht="28.5">
      <c r="A7" s="2" t="s">
        <v>164</v>
      </c>
      <c r="B7" s="2">
        <v>4</v>
      </c>
      <c r="C7" s="6">
        <v>10.9</v>
      </c>
      <c r="D7" s="6">
        <f t="shared" si="0"/>
        <v>43.6</v>
      </c>
      <c r="E7" s="2" t="s">
        <v>165</v>
      </c>
      <c r="F7" s="2" t="s">
        <v>166</v>
      </c>
      <c r="G7" s="12" t="s">
        <v>167</v>
      </c>
      <c r="H7" s="2" t="s">
        <v>168</v>
      </c>
    </row>
    <row r="8" spans="1:11" ht="28.5">
      <c r="A8" s="2" t="s">
        <v>169</v>
      </c>
      <c r="B8" s="2">
        <v>4</v>
      </c>
      <c r="C8" s="6">
        <v>1.9</v>
      </c>
      <c r="D8" s="6">
        <f t="shared" si="0"/>
        <v>7.6</v>
      </c>
      <c r="E8" s="2" t="s">
        <v>170</v>
      </c>
      <c r="F8" s="2" t="s">
        <v>171</v>
      </c>
      <c r="G8" s="12" t="s">
        <v>172</v>
      </c>
      <c r="H8" s="2" t="s">
        <v>173</v>
      </c>
    </row>
    <row r="9" spans="1:11">
      <c r="A9" s="2" t="s">
        <v>174</v>
      </c>
      <c r="B9" s="2">
        <v>1</v>
      </c>
      <c r="C9" s="6">
        <v>7.8</v>
      </c>
      <c r="D9" s="6">
        <f t="shared" si="0"/>
        <v>7.8</v>
      </c>
      <c r="E9" s="2" t="s">
        <v>175</v>
      </c>
      <c r="F9" s="2" t="s">
        <v>176</v>
      </c>
      <c r="G9" s="12" t="s">
        <v>177</v>
      </c>
      <c r="H9" s="2" t="s">
        <v>178</v>
      </c>
    </row>
    <row r="10" spans="1:11" ht="57">
      <c r="A10" s="2" t="s">
        <v>179</v>
      </c>
      <c r="B10" s="2">
        <v>4</v>
      </c>
      <c r="C10" s="6">
        <v>11.49</v>
      </c>
      <c r="D10" s="6">
        <f t="shared" si="0"/>
        <v>45.96</v>
      </c>
      <c r="E10" s="2" t="s">
        <v>180</v>
      </c>
      <c r="F10" s="2" t="s">
        <v>181</v>
      </c>
      <c r="G10" s="2" t="s">
        <v>182</v>
      </c>
      <c r="H10" s="2" t="s">
        <v>183</v>
      </c>
    </row>
    <row r="11" spans="1:11">
      <c r="A11" s="2" t="s">
        <v>184</v>
      </c>
      <c r="B11" s="2"/>
      <c r="C11" s="6"/>
      <c r="D11" s="6">
        <f>SUM(D5:D10)</f>
        <v>571.56000000000006</v>
      </c>
      <c r="E11" s="2" t="s">
        <v>185</v>
      </c>
      <c r="F11" s="2"/>
      <c r="G11" s="2"/>
      <c r="H11" s="2" t="s">
        <v>186</v>
      </c>
    </row>
  </sheetData>
  <mergeCells count="2">
    <mergeCell ref="A1:K1"/>
    <mergeCell ref="A2:K2"/>
  </mergeCells>
  <hyperlinks>
    <hyperlink ref="G7" r:id="rId1" xr:uid="{48FCCB91-8935-4B7F-8BB9-37B88095DCBF}"/>
    <hyperlink ref="G8" r:id="rId2" xr:uid="{A34F0917-B145-499C-8BC4-50DB7BD402AE}"/>
    <hyperlink ref="G9" r:id="rId3" xr:uid="{91203C71-0D6F-4A4E-9B04-81F1AE6DF097}"/>
  </hyperlinks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workbookViewId="0">
      <selection sqref="A1:K1"/>
    </sheetView>
  </sheetViews>
  <sheetFormatPr defaultRowHeight="14.25"/>
  <cols>
    <col min="1" max="1" width="26" customWidth="1"/>
    <col min="2" max="3" width="18" customWidth="1"/>
    <col min="4" max="4" width="22" customWidth="1"/>
    <col min="5" max="5" width="26" customWidth="1"/>
    <col min="6" max="6" width="24" customWidth="1"/>
    <col min="7" max="7" width="58" customWidth="1"/>
    <col min="8" max="8" width="60" customWidth="1"/>
  </cols>
  <sheetData>
    <row r="1" spans="1:11" ht="27.95" customHeight="1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2" customHeight="1">
      <c r="A2" s="9" t="s">
        <v>188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15">
      <c r="A4" s="1" t="s">
        <v>189</v>
      </c>
      <c r="B4" s="1" t="s">
        <v>53</v>
      </c>
      <c r="C4" s="1" t="s">
        <v>190</v>
      </c>
      <c r="D4" s="1" t="s">
        <v>191</v>
      </c>
      <c r="E4" s="1" t="s">
        <v>192</v>
      </c>
      <c r="F4" s="1" t="s">
        <v>193</v>
      </c>
      <c r="G4" s="1" t="s">
        <v>194</v>
      </c>
      <c r="H4" s="1" t="s">
        <v>69</v>
      </c>
    </row>
    <row r="5" spans="1:11" ht="28.5">
      <c r="A5" s="2" t="s">
        <v>195</v>
      </c>
      <c r="B5" s="2" t="s">
        <v>196</v>
      </c>
      <c r="C5" s="2" t="s">
        <v>197</v>
      </c>
      <c r="D5" s="2" t="s">
        <v>198</v>
      </c>
      <c r="E5" s="2" t="s">
        <v>199</v>
      </c>
      <c r="F5" s="2" t="s">
        <v>200</v>
      </c>
      <c r="G5" s="2" t="s">
        <v>201</v>
      </c>
      <c r="H5" s="2" t="s">
        <v>202</v>
      </c>
    </row>
    <row r="6" spans="1:11">
      <c r="A6" s="2" t="s">
        <v>159</v>
      </c>
      <c r="B6" s="2" t="s">
        <v>203</v>
      </c>
      <c r="C6" s="2" t="s">
        <v>204</v>
      </c>
      <c r="D6" s="2" t="s">
        <v>205</v>
      </c>
      <c r="E6" s="2" t="s">
        <v>206</v>
      </c>
      <c r="F6" s="2" t="s">
        <v>207</v>
      </c>
      <c r="G6" s="2" t="s">
        <v>208</v>
      </c>
      <c r="H6" s="2" t="s">
        <v>162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workbookViewId="0">
      <selection activeCell="C20" sqref="C20"/>
    </sheetView>
  </sheetViews>
  <sheetFormatPr defaultRowHeight="14.25"/>
  <cols>
    <col min="1" max="1" width="16" customWidth="1"/>
    <col min="2" max="2" width="30" customWidth="1"/>
    <col min="3" max="3" width="80" customWidth="1"/>
    <col min="4" max="4" width="70" customWidth="1"/>
  </cols>
  <sheetData>
    <row r="1" spans="1:11" ht="27.95" customHeight="1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2" customHeight="1">
      <c r="A2" s="9" t="s">
        <v>210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15">
      <c r="A4" s="1" t="s">
        <v>211</v>
      </c>
      <c r="B4" s="1" t="s">
        <v>149</v>
      </c>
      <c r="C4" s="1" t="s">
        <v>212</v>
      </c>
      <c r="D4" s="1" t="s">
        <v>213</v>
      </c>
    </row>
    <row r="5" spans="1:11">
      <c r="A5" s="2" t="s">
        <v>214</v>
      </c>
      <c r="B5" s="2" t="s">
        <v>215</v>
      </c>
      <c r="C5" s="2" t="s">
        <v>45</v>
      </c>
      <c r="D5" s="2" t="s">
        <v>216</v>
      </c>
    </row>
    <row r="6" spans="1:11">
      <c r="A6" s="2" t="s">
        <v>214</v>
      </c>
      <c r="B6" s="2" t="s">
        <v>217</v>
      </c>
      <c r="C6" s="2" t="s">
        <v>48</v>
      </c>
      <c r="D6" s="2" t="s">
        <v>218</v>
      </c>
    </row>
    <row r="7" spans="1:11" ht="28.5">
      <c r="A7" s="2" t="s">
        <v>52</v>
      </c>
      <c r="B7" s="2" t="s">
        <v>132</v>
      </c>
      <c r="C7" s="2" t="s">
        <v>219</v>
      </c>
      <c r="D7" s="2" t="s">
        <v>220</v>
      </c>
    </row>
    <row r="8" spans="1:11">
      <c r="A8" s="2" t="s">
        <v>52</v>
      </c>
      <c r="B8" s="2" t="s">
        <v>221</v>
      </c>
      <c r="C8" s="2" t="s">
        <v>77</v>
      </c>
      <c r="D8" s="2" t="s">
        <v>222</v>
      </c>
    </row>
    <row r="9" spans="1:11">
      <c r="A9" s="2" t="s">
        <v>52</v>
      </c>
      <c r="B9" s="2" t="s">
        <v>78</v>
      </c>
      <c r="C9" s="2" t="s">
        <v>85</v>
      </c>
      <c r="D9" s="2" t="s">
        <v>223</v>
      </c>
    </row>
    <row r="10" spans="1:11">
      <c r="A10" s="2" t="s">
        <v>52</v>
      </c>
      <c r="B10" s="2" t="s">
        <v>86</v>
      </c>
      <c r="C10" s="2" t="s">
        <v>91</v>
      </c>
      <c r="D10" s="2" t="s">
        <v>224</v>
      </c>
    </row>
    <row r="11" spans="1:11">
      <c r="A11" s="2" t="s">
        <v>52</v>
      </c>
      <c r="B11" s="2" t="s">
        <v>92</v>
      </c>
      <c r="C11" s="2" t="s">
        <v>98</v>
      </c>
      <c r="D11" s="2" t="s">
        <v>225</v>
      </c>
    </row>
    <row r="12" spans="1:11">
      <c r="A12" s="2" t="s">
        <v>52</v>
      </c>
      <c r="B12" s="2" t="s">
        <v>103</v>
      </c>
      <c r="C12" s="2" t="s">
        <v>109</v>
      </c>
      <c r="D12" s="2" t="s">
        <v>226</v>
      </c>
    </row>
    <row r="13" spans="1:11">
      <c r="A13" s="2" t="s">
        <v>52</v>
      </c>
      <c r="B13" s="2" t="s">
        <v>227</v>
      </c>
      <c r="C13" s="2" t="s">
        <v>102</v>
      </c>
      <c r="D13" s="2" t="s">
        <v>228</v>
      </c>
    </row>
    <row r="14" spans="1:11">
      <c r="A14" s="2" t="s">
        <v>189</v>
      </c>
      <c r="B14" s="2" t="s">
        <v>195</v>
      </c>
      <c r="C14" s="2" t="s">
        <v>202</v>
      </c>
      <c r="D14" s="2" t="s">
        <v>229</v>
      </c>
    </row>
    <row r="15" spans="1:11">
      <c r="A15" s="2" t="s">
        <v>189</v>
      </c>
      <c r="B15" s="2" t="s">
        <v>159</v>
      </c>
      <c r="C15" s="2" t="s">
        <v>162</v>
      </c>
      <c r="D15" s="2" t="s">
        <v>230</v>
      </c>
    </row>
    <row r="16" spans="1:11" ht="28.5">
      <c r="A16" s="2" t="s">
        <v>231</v>
      </c>
      <c r="B16" s="2" t="s">
        <v>232</v>
      </c>
      <c r="C16" s="2" t="s">
        <v>167</v>
      </c>
      <c r="D16" s="2" t="s">
        <v>233</v>
      </c>
    </row>
    <row r="17" spans="1:4">
      <c r="A17" s="2" t="s">
        <v>231</v>
      </c>
      <c r="B17" s="2" t="s">
        <v>234</v>
      </c>
      <c r="C17" s="2" t="s">
        <v>235</v>
      </c>
      <c r="D17" s="2" t="s">
        <v>236</v>
      </c>
    </row>
    <row r="18" spans="1:4">
      <c r="A18" s="2" t="s">
        <v>231</v>
      </c>
      <c r="B18" s="2" t="s">
        <v>237</v>
      </c>
      <c r="C18" s="2" t="s">
        <v>172</v>
      </c>
      <c r="D18" s="2" t="s">
        <v>238</v>
      </c>
    </row>
    <row r="19" spans="1:4">
      <c r="A19" s="2" t="s">
        <v>231</v>
      </c>
      <c r="B19" s="2" t="s">
        <v>239</v>
      </c>
      <c r="C19" s="2" t="s">
        <v>177</v>
      </c>
      <c r="D19" s="2" t="s">
        <v>240</v>
      </c>
    </row>
    <row r="20" spans="1:4" ht="42.75">
      <c r="A20" s="2" t="s">
        <v>231</v>
      </c>
      <c r="B20" s="2" t="s">
        <v>241</v>
      </c>
      <c r="C20" s="12" t="s">
        <v>182</v>
      </c>
      <c r="D20" s="2" t="s">
        <v>242</v>
      </c>
    </row>
  </sheetData>
  <mergeCells count="2">
    <mergeCell ref="A1:K1"/>
    <mergeCell ref="A2:K2"/>
  </mergeCells>
  <hyperlinks>
    <hyperlink ref="C20" r:id="rId1" xr:uid="{17195E25-A25F-4049-BFE0-F6F8606205A4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Load_Basis</vt:lpstr>
      <vt:lpstr>Servo_Options</vt:lpstr>
      <vt:lpstr>Linkage_Setup</vt:lpstr>
      <vt:lpstr>BOM_Recommendation</vt:lpstr>
      <vt:lpstr>BEC_Power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 Nikolov</cp:lastModifiedBy>
  <dcterms:modified xsi:type="dcterms:W3CDTF">2026-06-23T13:08:17Z</dcterms:modified>
</cp:coreProperties>
</file>